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45684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45684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45684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45684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45684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45684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45684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45684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45684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45684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45684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45684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45684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45684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45684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18183-2024</t>
        </is>
      </c>
      <c r="B17" s="1" t="n">
        <v>45420</v>
      </c>
      <c r="C17" s="1" t="n">
        <v>45684</v>
      </c>
      <c r="D17" t="inlineStr">
        <is>
          <t>SÖDERMANLANDS LÄN</t>
        </is>
      </c>
      <c r="E17" t="inlineStr">
        <is>
          <t>VINGÅKER</t>
        </is>
      </c>
      <c r="G17" t="n">
        <v>8.199999999999999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HYPERLINK("https://klasma.github.io/Logging_0428/artfynd/A 18183-2024 artfynd.xlsx", "A 18183-2024")</f>
        <v/>
      </c>
      <c r="T17">
        <f>HYPERLINK("https://klasma.github.io/Logging_0428/kartor/A 18183-2024 karta.png", "A 18183-2024")</f>
        <v/>
      </c>
      <c r="V17">
        <f>HYPERLINK("https://klasma.github.io/Logging_0428/klagomål/A 18183-2024 FSC-klagomål.docx", "A 18183-2024")</f>
        <v/>
      </c>
      <c r="W17">
        <f>HYPERLINK("https://klasma.github.io/Logging_0428/klagomålsmail/A 18183-2024 FSC-klagomål mail.docx", "A 18183-2024")</f>
        <v/>
      </c>
      <c r="X17">
        <f>HYPERLINK("https://klasma.github.io/Logging_0428/tillsyn/A 18183-2024 tillsynsbegäran.docx", "A 18183-2024")</f>
        <v/>
      </c>
      <c r="Y17">
        <f>HYPERLINK("https://klasma.github.io/Logging_0428/tillsynsmail/A 18183-2024 tillsynsbegäran mail.docx", "A 18183-2024")</f>
        <v/>
      </c>
    </row>
    <row r="18" ht="15" customHeight="1">
      <c r="A18" t="inlineStr">
        <is>
          <t>A 29788-2024</t>
        </is>
      </c>
      <c r="B18" s="1" t="n">
        <v>45485</v>
      </c>
      <c r="C18" s="1" t="n">
        <v>45684</v>
      </c>
      <c r="D18" t="inlineStr">
        <is>
          <t>SÖDERMANLANDS LÄN</t>
        </is>
      </c>
      <c r="E18" t="inlineStr">
        <is>
          <t>VINGÅKER</t>
        </is>
      </c>
      <c r="G18" t="n">
        <v>7.4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HYPERLINK("https://klasma.github.io/Logging_0428/artfynd/A 29788-2024 artfynd.xlsx", "A 29788-2024")</f>
        <v/>
      </c>
      <c r="T18">
        <f>HYPERLINK("https://klasma.github.io/Logging_0428/kartor/A 29788-2024 karta.png", "A 29788-2024")</f>
        <v/>
      </c>
      <c r="U18">
        <f>HYPERLINK("https://klasma.github.io/Logging_0428/knärot/A 29788-2024 karta knärot.png", "A 29788-2024")</f>
        <v/>
      </c>
      <c r="V18">
        <f>HYPERLINK("https://klasma.github.io/Logging_0428/klagomål/A 29788-2024 FSC-klagomål.docx", "A 29788-2024")</f>
        <v/>
      </c>
      <c r="W18">
        <f>HYPERLINK("https://klasma.github.io/Logging_0428/klagomålsmail/A 29788-2024 FSC-klagomål mail.docx", "A 29788-2024")</f>
        <v/>
      </c>
      <c r="X18">
        <f>HYPERLINK("https://klasma.github.io/Logging_0428/tillsyn/A 29788-2024 tillsynsbegäran.docx", "A 29788-2024")</f>
        <v/>
      </c>
      <c r="Y18">
        <f>HYPERLINK("https://klasma.github.io/Logging_0428/tillsynsmail/A 29788-2024 tillsynsbegäran mail.docx", "A 29788-2024")</f>
        <v/>
      </c>
    </row>
    <row r="19" ht="15" customHeight="1">
      <c r="A19" t="inlineStr">
        <is>
          <t>A 18632-2019</t>
        </is>
      </c>
      <c r="B19" s="1" t="n">
        <v>43559</v>
      </c>
      <c r="C19" s="1" t="n">
        <v>45684</v>
      </c>
      <c r="D19" t="inlineStr">
        <is>
          <t>SÖDERMANLANDS LÄN</t>
        </is>
      </c>
      <c r="E19" t="inlineStr">
        <is>
          <t>VINGÅKER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19449-2019</t>
        </is>
      </c>
      <c r="B20" s="1" t="n">
        <v>43565</v>
      </c>
      <c r="C20" s="1" t="n">
        <v>45684</v>
      </c>
      <c r="D20" t="inlineStr">
        <is>
          <t>SÖDERMANLANDS LÄN</t>
        </is>
      </c>
      <c r="E20" t="inlineStr">
        <is>
          <t>VINGÅKER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20729-2019</t>
        </is>
      </c>
      <c r="B21" s="1" t="n">
        <v>43573</v>
      </c>
      <c r="C21" s="1" t="n">
        <v>45684</v>
      </c>
      <c r="D21" t="inlineStr">
        <is>
          <t>SÖDERMANLANDS LÄN</t>
        </is>
      </c>
      <c r="E21" t="inlineStr">
        <is>
          <t>VINGÅKER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21575-2019</t>
        </is>
      </c>
      <c r="B22" s="1" t="n">
        <v>43580</v>
      </c>
      <c r="C22" s="1" t="n">
        <v>45684</v>
      </c>
      <c r="D22" t="inlineStr">
        <is>
          <t>SÖDERMANLANDS LÄN</t>
        </is>
      </c>
      <c r="E22" t="inlineStr">
        <is>
          <t>VINGÅKER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21632-2019</t>
        </is>
      </c>
      <c r="B23" s="1" t="n">
        <v>43580</v>
      </c>
      <c r="C23" s="1" t="n">
        <v>45684</v>
      </c>
      <c r="D23" t="inlineStr">
        <is>
          <t>SÖDERMANLANDS LÄN</t>
        </is>
      </c>
      <c r="E23" t="inlineStr">
        <is>
          <t>VINGÅKER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21630-2019</t>
        </is>
      </c>
      <c r="B24" s="1" t="n">
        <v>43580</v>
      </c>
      <c r="C24" s="1" t="n">
        <v>45684</v>
      </c>
      <c r="D24" t="inlineStr">
        <is>
          <t>SÖDERMANLANDS LÄN</t>
        </is>
      </c>
      <c r="E24" t="inlineStr">
        <is>
          <t>VINGÅKER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21627-2019</t>
        </is>
      </c>
      <c r="B25" s="1" t="n">
        <v>43580</v>
      </c>
      <c r="C25" s="1" t="n">
        <v>45684</v>
      </c>
      <c r="D25" t="inlineStr">
        <is>
          <t>SÖDERMANLANDS LÄN</t>
        </is>
      </c>
      <c r="E25" t="inlineStr">
        <is>
          <t>VINGÅKER</t>
        </is>
      </c>
      <c r="G25" t="n">
        <v>13.1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22503-2019</t>
        </is>
      </c>
      <c r="B26" s="1" t="n">
        <v>43587</v>
      </c>
      <c r="C26" s="1" t="n">
        <v>45684</v>
      </c>
      <c r="D26" t="inlineStr">
        <is>
          <t>SÖDERMANLANDS LÄN</t>
        </is>
      </c>
      <c r="E26" t="inlineStr">
        <is>
          <t>VINGÅKER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23244-2019</t>
        </is>
      </c>
      <c r="B27" s="1" t="n">
        <v>43592</v>
      </c>
      <c r="C27" s="1" t="n">
        <v>45684</v>
      </c>
      <c r="D27" t="inlineStr">
        <is>
          <t>SÖDERMANLANDS LÄN</t>
        </is>
      </c>
      <c r="E27" t="inlineStr">
        <is>
          <t>VINGÅKER</t>
        </is>
      </c>
      <c r="F27" t="inlineStr">
        <is>
          <t>Kyrkan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26460-2019</t>
        </is>
      </c>
      <c r="B28" s="1" t="n">
        <v>43606</v>
      </c>
      <c r="C28" s="1" t="n">
        <v>45684</v>
      </c>
      <c r="D28" t="inlineStr">
        <is>
          <t>SÖDERMANLANDS LÄN</t>
        </is>
      </c>
      <c r="E28" t="inlineStr">
        <is>
          <t>VINGÅKER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25805-2019</t>
        </is>
      </c>
      <c r="B29" s="1" t="n">
        <v>43608</v>
      </c>
      <c r="C29" s="1" t="n">
        <v>45684</v>
      </c>
      <c r="D29" t="inlineStr">
        <is>
          <t>SÖDERMANLANDS LÄN</t>
        </is>
      </c>
      <c r="E29" t="inlineStr">
        <is>
          <t>VINGÅKER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25807-2019</t>
        </is>
      </c>
      <c r="B30" s="1" t="n">
        <v>43608</v>
      </c>
      <c r="C30" s="1" t="n">
        <v>45684</v>
      </c>
      <c r="D30" t="inlineStr">
        <is>
          <t>SÖDERMANLANDS LÄN</t>
        </is>
      </c>
      <c r="E30" t="inlineStr">
        <is>
          <t>VINGÅKER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25802-2019</t>
        </is>
      </c>
      <c r="B31" s="1" t="n">
        <v>43608</v>
      </c>
      <c r="C31" s="1" t="n">
        <v>45684</v>
      </c>
      <c r="D31" t="inlineStr">
        <is>
          <t>SÖDERMANLANDS LÄN</t>
        </is>
      </c>
      <c r="E31" t="inlineStr">
        <is>
          <t>VINGÅKER</t>
        </is>
      </c>
      <c r="G31" t="n">
        <v>20.2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26873-2019</t>
        </is>
      </c>
      <c r="B32" s="1" t="n">
        <v>43608</v>
      </c>
      <c r="C32" s="1" t="n">
        <v>45684</v>
      </c>
      <c r="D32" t="inlineStr">
        <is>
          <t>SÖDERMANLANDS LÄN</t>
        </is>
      </c>
      <c r="E32" t="inlineStr">
        <is>
          <t>VINGÅKER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26848-2019</t>
        </is>
      </c>
      <c r="B33" s="1" t="n">
        <v>43613</v>
      </c>
      <c r="C33" s="1" t="n">
        <v>45684</v>
      </c>
      <c r="D33" t="inlineStr">
        <is>
          <t>SÖDERMANLANDS LÄN</t>
        </is>
      </c>
      <c r="E33" t="inlineStr">
        <is>
          <t>VINGÅKER</t>
        </is>
      </c>
      <c r="F33" t="inlineStr">
        <is>
          <t>Kyrkan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28511-2019</t>
        </is>
      </c>
      <c r="B34" s="1" t="n">
        <v>43626</v>
      </c>
      <c r="C34" s="1" t="n">
        <v>45684</v>
      </c>
      <c r="D34" t="inlineStr">
        <is>
          <t>SÖDERMANLANDS LÄN</t>
        </is>
      </c>
      <c r="E34" t="inlineStr">
        <is>
          <t>VINGÅKER</t>
        </is>
      </c>
      <c r="G34" t="n">
        <v>9.699999999999999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29258-2019</t>
        </is>
      </c>
      <c r="B35" s="1" t="n">
        <v>43629</v>
      </c>
      <c r="C35" s="1" t="n">
        <v>45684</v>
      </c>
      <c r="D35" t="inlineStr">
        <is>
          <t>SÖDERMANLANDS LÄN</t>
        </is>
      </c>
      <c r="E35" t="inlineStr">
        <is>
          <t>VINGÅKER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31832-2019</t>
        </is>
      </c>
      <c r="B36" s="1" t="n">
        <v>43640</v>
      </c>
      <c r="C36" s="1" t="n">
        <v>45684</v>
      </c>
      <c r="D36" t="inlineStr">
        <is>
          <t>SÖDERMANLANDS LÄN</t>
        </is>
      </c>
      <c r="E36" t="inlineStr">
        <is>
          <t>VINGÅKER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31818-2019</t>
        </is>
      </c>
      <c r="B37" s="1" t="n">
        <v>43640</v>
      </c>
      <c r="C37" s="1" t="n">
        <v>45684</v>
      </c>
      <c r="D37" t="inlineStr">
        <is>
          <t>SÖDERMANLANDS LÄN</t>
        </is>
      </c>
      <c r="E37" t="inlineStr">
        <is>
          <t>VINGÅKER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31835-2019</t>
        </is>
      </c>
      <c r="B38" s="1" t="n">
        <v>43640</v>
      </c>
      <c r="C38" s="1" t="n">
        <v>45684</v>
      </c>
      <c r="D38" t="inlineStr">
        <is>
          <t>SÖDERMANLANDS LÄN</t>
        </is>
      </c>
      <c r="E38" t="inlineStr">
        <is>
          <t>VINGÅKER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32789-2019</t>
        </is>
      </c>
      <c r="B39" s="1" t="n">
        <v>43648</v>
      </c>
      <c r="C39" s="1" t="n">
        <v>45684</v>
      </c>
      <c r="D39" t="inlineStr">
        <is>
          <t>SÖDERMANLANDS LÄN</t>
        </is>
      </c>
      <c r="E39" t="inlineStr">
        <is>
          <t>VINGÅKER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33819-2019</t>
        </is>
      </c>
      <c r="B40" s="1" t="n">
        <v>43651</v>
      </c>
      <c r="C40" s="1" t="n">
        <v>45684</v>
      </c>
      <c r="D40" t="inlineStr">
        <is>
          <t>SÖDERMANLANDS LÄN</t>
        </is>
      </c>
      <c r="E40" t="inlineStr">
        <is>
          <t>VINGÅKER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34226-2019</t>
        </is>
      </c>
      <c r="B41" s="1" t="n">
        <v>43655</v>
      </c>
      <c r="C41" s="1" t="n">
        <v>45684</v>
      </c>
      <c r="D41" t="inlineStr">
        <is>
          <t>SÖDERMANLANDS LÄN</t>
        </is>
      </c>
      <c r="E41" t="inlineStr">
        <is>
          <t>VINGÅKER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34459-2019</t>
        </is>
      </c>
      <c r="B42" s="1" t="n">
        <v>43656</v>
      </c>
      <c r="C42" s="1" t="n">
        <v>45684</v>
      </c>
      <c r="D42" t="inlineStr">
        <is>
          <t>SÖDERMANLANDS LÄN</t>
        </is>
      </c>
      <c r="E42" t="inlineStr">
        <is>
          <t>VINGÅKER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34457-2019</t>
        </is>
      </c>
      <c r="B43" s="1" t="n">
        <v>43656</v>
      </c>
      <c r="C43" s="1" t="n">
        <v>45684</v>
      </c>
      <c r="D43" t="inlineStr">
        <is>
          <t>SÖDERMANLANDS LÄN</t>
        </is>
      </c>
      <c r="E43" t="inlineStr">
        <is>
          <t>VINGÅKER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35802-2019</t>
        </is>
      </c>
      <c r="B44" s="1" t="n">
        <v>43656</v>
      </c>
      <c r="C44" s="1" t="n">
        <v>45684</v>
      </c>
      <c r="D44" t="inlineStr">
        <is>
          <t>SÖDERMANLANDS LÄN</t>
        </is>
      </c>
      <c r="E44" t="inlineStr">
        <is>
          <t>VINGÅKER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35796-2019</t>
        </is>
      </c>
      <c r="B45" s="1" t="n">
        <v>43656</v>
      </c>
      <c r="C45" s="1" t="n">
        <v>45684</v>
      </c>
      <c r="D45" t="inlineStr">
        <is>
          <t>SÖDERMANLANDS LÄN</t>
        </is>
      </c>
      <c r="E45" t="inlineStr">
        <is>
          <t>VINGÅKER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35773-2019</t>
        </is>
      </c>
      <c r="B46" s="1" t="n">
        <v>43665</v>
      </c>
      <c r="C46" s="1" t="n">
        <v>45684</v>
      </c>
      <c r="D46" t="inlineStr">
        <is>
          <t>SÖDERMANLANDS LÄN</t>
        </is>
      </c>
      <c r="E46" t="inlineStr">
        <is>
          <t>VINGÅKER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36479-2019</t>
        </is>
      </c>
      <c r="B47" s="1" t="n">
        <v>43670</v>
      </c>
      <c r="C47" s="1" t="n">
        <v>45684</v>
      </c>
      <c r="D47" t="inlineStr">
        <is>
          <t>SÖDERMANLANDS LÄN</t>
        </is>
      </c>
      <c r="E47" t="inlineStr">
        <is>
          <t>VINGÅKER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37062-2019</t>
        </is>
      </c>
      <c r="B48" s="1" t="n">
        <v>43676</v>
      </c>
      <c r="C48" s="1" t="n">
        <v>45684</v>
      </c>
      <c r="D48" t="inlineStr">
        <is>
          <t>SÖDERMANLANDS LÄN</t>
        </is>
      </c>
      <c r="E48" t="inlineStr">
        <is>
          <t>VINGÅKER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37742-2019</t>
        </is>
      </c>
      <c r="B49" s="1" t="n">
        <v>43679</v>
      </c>
      <c r="C49" s="1" t="n">
        <v>45684</v>
      </c>
      <c r="D49" t="inlineStr">
        <is>
          <t>SÖDERMANLANDS LÄN</t>
        </is>
      </c>
      <c r="E49" t="inlineStr">
        <is>
          <t>VINGÅKER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38875-2019</t>
        </is>
      </c>
      <c r="B50" s="1" t="n">
        <v>43689</v>
      </c>
      <c r="C50" s="1" t="n">
        <v>45684</v>
      </c>
      <c r="D50" t="inlineStr">
        <is>
          <t>SÖDERMANLANDS LÄN</t>
        </is>
      </c>
      <c r="E50" t="inlineStr">
        <is>
          <t>VINGÅKER</t>
        </is>
      </c>
      <c r="F50" t="inlineStr">
        <is>
          <t>Kommuner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45684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45684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45684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45684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45684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45684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45684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45684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45684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45684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45684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45684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45684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45684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45684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45684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45684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45684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45684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45684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45684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45684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45684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45684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45684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45684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45684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45684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45684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45684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45684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45684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45684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45684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45684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45684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45684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45684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45684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45684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45684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45684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45684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45684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45684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45684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45684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45684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45684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45684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45684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45684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45684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45684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45684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45684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45684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45684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45684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45684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45684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45684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45684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45684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45684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45684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45684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45684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45684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45684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45684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45684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45684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45684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45684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45684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45684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45684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45684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45684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45684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45684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45684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45684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45684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45684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45684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45684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45684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45684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45684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45684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45684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45684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45684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45684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45684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45684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45684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45684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45684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45684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45684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45684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45684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45684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45684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45684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45684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45684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45684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45684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45684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45684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45684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45684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45684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45684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45684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45684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45684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45684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45684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45684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45684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45684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45684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45684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45684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45684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45684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45684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45684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45684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45684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45684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45684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45684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45684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45684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45684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45684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45684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45684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45684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45684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45684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45684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45684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45684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45684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45684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45684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45684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45684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45684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45684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45684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45684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45684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45684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45684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45684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45684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45684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45684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45684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45684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45684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45684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45684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45684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45684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45684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45684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45684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45684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45684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45684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45684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45684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45684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45684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45684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45684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45684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45684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45684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45684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45684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45684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45684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45684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45684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45684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45684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45684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45684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45684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45684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45684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45684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45684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45684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45684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45684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45684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45684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45684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45684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45684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45684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45684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45684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45684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45684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45684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45684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45684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45684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45684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45684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45684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45684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45684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45684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45684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45684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45684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45684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45684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45684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45684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45684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45684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45684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45684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45684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45684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45684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45684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45684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45684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45684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45684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45684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45684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45684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45684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45684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45684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45684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45684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45684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45684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45684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45684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45684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45684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45684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45684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45684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45684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45684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45684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45684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45684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45684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45684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45684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45684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45684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45684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45684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45684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45684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45684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45684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45684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45684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45684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45684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45684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45684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45684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45684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45684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45684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45684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45684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45684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45684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45684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45684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45684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45684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45684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45684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45684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45684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45684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45684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45684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45684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45684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45684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45684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45684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45684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45684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45684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45684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45684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45684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45684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45684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45684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45684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45684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45684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45684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45684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45684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45684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45684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45684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45684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45684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45684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45684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45684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45684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45684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45684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45684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45684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45684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45684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45684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45684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45684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45684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45684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45684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45684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45684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45684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45684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45684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45684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45684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45684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45684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45684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45684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45684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45684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45684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45684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45684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45684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45684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45684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45684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45684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45684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45684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45684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45684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45684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45684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45684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45684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45684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45684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45684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45684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45684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45684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45684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45684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45684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45684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45684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45684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45684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45684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45684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45684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45684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45684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45684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45684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45684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45684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45684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45684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45684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45684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45684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45684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45684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45684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45684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45684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45684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45684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45684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45684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45684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45684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45684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45684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45684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45684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45684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45684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45684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45684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45684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45684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45684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45684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45684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45684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45684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45684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45684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45684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45684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45684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45684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45684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45684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45684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45684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45684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45684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45684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45684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45684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45684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45684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45684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45684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45684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45684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45684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45684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45684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45684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45684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45684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45684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45684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45684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45684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45684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45684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45684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45684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45684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45684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45684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45684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45684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45684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45684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45684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45684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45684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45684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45684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45684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45684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45684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45684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45684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45684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45684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45684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45684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45684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45684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45684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45684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45684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45684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45684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45684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45684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45684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45684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45684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45684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45684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45684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45684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45684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45684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45684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45684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45684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45684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45684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45684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45684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45684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45684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45684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45684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45684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45684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>
      <c r="A564" t="inlineStr">
        <is>
          <t>A 58893-2024</t>
        </is>
      </c>
      <c r="B564" s="1" t="n">
        <v>45636</v>
      </c>
      <c r="C564" s="1" t="n">
        <v>45684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2025-01-27T16:28:20Z</dcterms:created>
  <dcterms:modified xmlns:dcterms="http://purl.org/dc/terms/" xmlns:xsi="http://www.w3.org/2001/XMLSchema-instance" xsi:type="dcterms:W3CDTF">2025-01-27T16:28:21Z</dcterms:modified>
</cp:coreProperties>
</file>