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6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31390-2020</t>
        </is>
      </c>
      <c r="B2" s="1" t="n">
        <v>44012</v>
      </c>
      <c r="C2" s="1" t="n">
        <v>45695</v>
      </c>
      <c r="D2" t="inlineStr">
        <is>
          <t>SÖDERMANLANDS LÄN</t>
        </is>
      </c>
      <c r="E2" t="inlineStr">
        <is>
          <t>VINGÅKER</t>
        </is>
      </c>
      <c r="G2" t="n">
        <v>2.3</v>
      </c>
      <c r="H2" t="n">
        <v>2</v>
      </c>
      <c r="I2" t="n">
        <v>10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12</v>
      </c>
      <c r="R2" s="2" t="inlineStr">
        <is>
          <t>Brandtaggsvamp
Fjällig taggsvamp s.str.
Grönpyrola
Guldlockmossa
Kalktallört
Platt fjädermossa
Rödgul trumpetsvamp
Skarp dropptaggsvamp
Svavelriska
Sårläka
Tvåblad
Blåsippa</t>
        </is>
      </c>
      <c r="S2">
        <f>HYPERLINK("https://klasma.github.io/Logging_0428/artfynd/A 31390-2020 artfynd.xlsx", "A 31390-2020")</f>
        <v/>
      </c>
      <c r="T2">
        <f>HYPERLINK("https://klasma.github.io/Logging_0428/kartor/A 31390-2020 karta.png", "A 31390-2020")</f>
        <v/>
      </c>
      <c r="V2">
        <f>HYPERLINK("https://klasma.github.io/Logging_0428/klagomål/A 31390-2020 FSC-klagomål.docx", "A 31390-2020")</f>
        <v/>
      </c>
      <c r="W2">
        <f>HYPERLINK("https://klasma.github.io/Logging_0428/klagomålsmail/A 31390-2020 FSC-klagomål mail.docx", "A 31390-2020")</f>
        <v/>
      </c>
      <c r="X2">
        <f>HYPERLINK("https://klasma.github.io/Logging_0428/tillsyn/A 31390-2020 tillsynsbegäran.docx", "A 31390-2020")</f>
        <v/>
      </c>
      <c r="Y2">
        <f>HYPERLINK("https://klasma.github.io/Logging_0428/tillsynsmail/A 31390-2020 tillsynsbegäran mail.docx", "A 31390-2020")</f>
        <v/>
      </c>
    </row>
    <row r="3" ht="15" customHeight="1">
      <c r="A3" t="inlineStr">
        <is>
          <t>A 13073-2023</t>
        </is>
      </c>
      <c r="B3" s="1" t="n">
        <v>45001</v>
      </c>
      <c r="C3" s="1" t="n">
        <v>45695</v>
      </c>
      <c r="D3" t="inlineStr">
        <is>
          <t>SÖDERMANLANDS LÄN</t>
        </is>
      </c>
      <c r="E3" t="inlineStr">
        <is>
          <t>VINGÅKER</t>
        </is>
      </c>
      <c r="G3" t="n">
        <v>5.4</v>
      </c>
      <c r="H3" t="n">
        <v>7</v>
      </c>
      <c r="I3" t="n">
        <v>0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8</v>
      </c>
      <c r="R3" s="2" t="inlineStr">
        <is>
          <t>Drillsnäppa
Fiskmås
Spillkråka
Svartvit flugsnappare
Tallticka
Gröngöling
Grönsiska
Kungsfågel</t>
        </is>
      </c>
      <c r="S3">
        <f>HYPERLINK("https://klasma.github.io/Logging_0428/artfynd/A 13073-2023 artfynd.xlsx", "A 13073-2023")</f>
        <v/>
      </c>
      <c r="T3">
        <f>HYPERLINK("https://klasma.github.io/Logging_0428/kartor/A 13073-2023 karta.png", "A 13073-2023")</f>
        <v/>
      </c>
      <c r="V3">
        <f>HYPERLINK("https://klasma.github.io/Logging_0428/klagomål/A 13073-2023 FSC-klagomål.docx", "A 13073-2023")</f>
        <v/>
      </c>
      <c r="W3">
        <f>HYPERLINK("https://klasma.github.io/Logging_0428/klagomålsmail/A 13073-2023 FSC-klagomål mail.docx", "A 13073-2023")</f>
        <v/>
      </c>
      <c r="X3">
        <f>HYPERLINK("https://klasma.github.io/Logging_0428/tillsyn/A 13073-2023 tillsynsbegäran.docx", "A 13073-2023")</f>
        <v/>
      </c>
      <c r="Y3">
        <f>HYPERLINK("https://klasma.github.io/Logging_0428/tillsynsmail/A 13073-2023 tillsynsbegäran mail.docx", "A 13073-2023")</f>
        <v/>
      </c>
      <c r="Z3">
        <f>HYPERLINK("https://klasma.github.io/Logging_0428/fåglar/A 13073-2023 prioriterade fågelarter.docx", "A 13073-2023")</f>
        <v/>
      </c>
    </row>
    <row r="4" ht="15" customHeight="1">
      <c r="A4" t="inlineStr">
        <is>
          <t>A 43704-2021</t>
        </is>
      </c>
      <c r="B4" s="1" t="n">
        <v>44433</v>
      </c>
      <c r="C4" s="1" t="n">
        <v>45695</v>
      </c>
      <c r="D4" t="inlineStr">
        <is>
          <t>SÖDERMANLANDS LÄN</t>
        </is>
      </c>
      <c r="E4" t="inlineStr">
        <is>
          <t>VINGÅKER</t>
        </is>
      </c>
      <c r="G4" t="n">
        <v>1.1</v>
      </c>
      <c r="H4" t="n">
        <v>3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3</v>
      </c>
      <c r="R4" s="2" t="inlineStr">
        <is>
          <t>Hällebräcka
Buskskvätta
Gulsparv</t>
        </is>
      </c>
      <c r="S4">
        <f>HYPERLINK("https://klasma.github.io/Logging_0428/artfynd/A 43704-2021 artfynd.xlsx", "A 43704-2021")</f>
        <v/>
      </c>
      <c r="T4">
        <f>HYPERLINK("https://klasma.github.io/Logging_0428/kartor/A 43704-2021 karta.png", "A 43704-2021")</f>
        <v/>
      </c>
      <c r="V4">
        <f>HYPERLINK("https://klasma.github.io/Logging_0428/klagomål/A 43704-2021 FSC-klagomål.docx", "A 43704-2021")</f>
        <v/>
      </c>
      <c r="W4">
        <f>HYPERLINK("https://klasma.github.io/Logging_0428/klagomålsmail/A 43704-2021 FSC-klagomål mail.docx", "A 43704-2021")</f>
        <v/>
      </c>
      <c r="X4">
        <f>HYPERLINK("https://klasma.github.io/Logging_0428/tillsyn/A 43704-2021 tillsynsbegäran.docx", "A 43704-2021")</f>
        <v/>
      </c>
      <c r="Y4">
        <f>HYPERLINK("https://klasma.github.io/Logging_0428/tillsynsmail/A 43704-2021 tillsynsbegäran mail.docx", "A 43704-2021")</f>
        <v/>
      </c>
      <c r="Z4">
        <f>HYPERLINK("https://klasma.github.io/Logging_0428/fåglar/A 43704-2021 prioriterade fågelarter.docx", "A 43704-2021")</f>
        <v/>
      </c>
    </row>
    <row r="5" ht="15" customHeight="1">
      <c r="A5" t="inlineStr">
        <is>
          <t>A 14098-2022</t>
        </is>
      </c>
      <c r="B5" s="1" t="n">
        <v>44651</v>
      </c>
      <c r="C5" s="1" t="n">
        <v>45695</v>
      </c>
      <c r="D5" t="inlineStr">
        <is>
          <t>SÖDERMANLANDS LÄN</t>
        </is>
      </c>
      <c r="E5" t="inlineStr">
        <is>
          <t>VINGÅKER</t>
        </is>
      </c>
      <c r="F5" t="inlineStr">
        <is>
          <t>Sveaskog</t>
        </is>
      </c>
      <c r="G5" t="n">
        <v>1.3</v>
      </c>
      <c r="H5" t="n">
        <v>3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Järpe
Spillkråka
Kopparödla</t>
        </is>
      </c>
      <c r="S5">
        <f>HYPERLINK("https://klasma.github.io/Logging_0428/artfynd/A 14098-2022 artfynd.xlsx", "A 14098-2022")</f>
        <v/>
      </c>
      <c r="T5">
        <f>HYPERLINK("https://klasma.github.io/Logging_0428/kartor/A 14098-2022 karta.png", "A 14098-2022")</f>
        <v/>
      </c>
      <c r="V5">
        <f>HYPERLINK("https://klasma.github.io/Logging_0428/klagomål/A 14098-2022 FSC-klagomål.docx", "A 14098-2022")</f>
        <v/>
      </c>
      <c r="W5">
        <f>HYPERLINK("https://klasma.github.io/Logging_0428/klagomålsmail/A 14098-2022 FSC-klagomål mail.docx", "A 14098-2022")</f>
        <v/>
      </c>
      <c r="X5">
        <f>HYPERLINK("https://klasma.github.io/Logging_0428/tillsyn/A 14098-2022 tillsynsbegäran.docx", "A 14098-2022")</f>
        <v/>
      </c>
      <c r="Y5">
        <f>HYPERLINK("https://klasma.github.io/Logging_0428/tillsynsmail/A 14098-2022 tillsynsbegäran mail.docx", "A 14098-2022")</f>
        <v/>
      </c>
      <c r="Z5">
        <f>HYPERLINK("https://klasma.github.io/Logging_0428/fåglar/A 14098-2022 prioriterade fågelarter.docx", "A 14098-2022")</f>
        <v/>
      </c>
    </row>
    <row r="6" ht="15" customHeight="1">
      <c r="A6" t="inlineStr">
        <is>
          <t>A 60599-2022</t>
        </is>
      </c>
      <c r="B6" s="1" t="n">
        <v>44911</v>
      </c>
      <c r="C6" s="1" t="n">
        <v>45695</v>
      </c>
      <c r="D6" t="inlineStr">
        <is>
          <t>SÖDERMANLANDS LÄN</t>
        </is>
      </c>
      <c r="E6" t="inlineStr">
        <is>
          <t>VINGÅKER</t>
        </is>
      </c>
      <c r="G6" t="n">
        <v>2.3</v>
      </c>
      <c r="H6" t="n">
        <v>0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3</v>
      </c>
      <c r="R6" s="2" t="inlineStr">
        <is>
          <t>Motaggsvamp
Svart taggsvamp
Ullticka</t>
        </is>
      </c>
      <c r="S6">
        <f>HYPERLINK("https://klasma.github.io/Logging_0428/artfynd/A 60599-2022 artfynd.xlsx", "A 60599-2022")</f>
        <v/>
      </c>
      <c r="T6">
        <f>HYPERLINK("https://klasma.github.io/Logging_0428/kartor/A 60599-2022 karta.png", "A 60599-2022")</f>
        <v/>
      </c>
      <c r="V6">
        <f>HYPERLINK("https://klasma.github.io/Logging_0428/klagomål/A 60599-2022 FSC-klagomål.docx", "A 60599-2022")</f>
        <v/>
      </c>
      <c r="W6">
        <f>HYPERLINK("https://klasma.github.io/Logging_0428/klagomålsmail/A 60599-2022 FSC-klagomål mail.docx", "A 60599-2022")</f>
        <v/>
      </c>
      <c r="X6">
        <f>HYPERLINK("https://klasma.github.io/Logging_0428/tillsyn/A 60599-2022 tillsynsbegäran.docx", "A 60599-2022")</f>
        <v/>
      </c>
      <c r="Y6">
        <f>HYPERLINK("https://klasma.github.io/Logging_0428/tillsynsmail/A 60599-2022 tillsynsbegäran mail.docx", "A 60599-2022")</f>
        <v/>
      </c>
    </row>
    <row r="7" ht="15" customHeight="1">
      <c r="A7" t="inlineStr">
        <is>
          <t>A 54381-2023</t>
        </is>
      </c>
      <c r="B7" s="1" t="n">
        <v>45226</v>
      </c>
      <c r="C7" s="1" t="n">
        <v>45695</v>
      </c>
      <c r="D7" t="inlineStr">
        <is>
          <t>SÖDERMANLANDS LÄN</t>
        </is>
      </c>
      <c r="E7" t="inlineStr">
        <is>
          <t>VINGÅKER</t>
        </is>
      </c>
      <c r="G7" t="n">
        <v>10.7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Blodvaxskivling
Svart trolldruva
Svavelriska</t>
        </is>
      </c>
      <c r="S7">
        <f>HYPERLINK("https://klasma.github.io/Logging_0428/artfynd/A 54381-2023 artfynd.xlsx", "A 54381-2023")</f>
        <v/>
      </c>
      <c r="T7">
        <f>HYPERLINK("https://klasma.github.io/Logging_0428/kartor/A 54381-2023 karta.png", "A 54381-2023")</f>
        <v/>
      </c>
      <c r="V7">
        <f>HYPERLINK("https://klasma.github.io/Logging_0428/klagomål/A 54381-2023 FSC-klagomål.docx", "A 54381-2023")</f>
        <v/>
      </c>
      <c r="W7">
        <f>HYPERLINK("https://klasma.github.io/Logging_0428/klagomålsmail/A 54381-2023 FSC-klagomål mail.docx", "A 54381-2023")</f>
        <v/>
      </c>
      <c r="X7">
        <f>HYPERLINK("https://klasma.github.io/Logging_0428/tillsyn/A 54381-2023 tillsynsbegäran.docx", "A 54381-2023")</f>
        <v/>
      </c>
      <c r="Y7">
        <f>HYPERLINK("https://klasma.github.io/Logging_0428/tillsynsmail/A 54381-2023 tillsynsbegäran mail.docx", "A 54381-2023")</f>
        <v/>
      </c>
    </row>
    <row r="8" ht="15" customHeight="1">
      <c r="A8" t="inlineStr">
        <is>
          <t>A 16308-2024</t>
        </is>
      </c>
      <c r="B8" s="1" t="n">
        <v>45407</v>
      </c>
      <c r="C8" s="1" t="n">
        <v>45695</v>
      </c>
      <c r="D8" t="inlineStr">
        <is>
          <t>SÖDERMANLANDS LÄN</t>
        </is>
      </c>
      <c r="E8" t="inlineStr">
        <is>
          <t>VINGÅKER</t>
        </is>
      </c>
      <c r="G8" t="n">
        <v>4.2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Spillkråka
Svartvit flugsnappare</t>
        </is>
      </c>
      <c r="S8">
        <f>HYPERLINK("https://klasma.github.io/Logging_0428/artfynd/A 16308-2024 artfynd.xlsx", "A 16308-2024")</f>
        <v/>
      </c>
      <c r="T8">
        <f>HYPERLINK("https://klasma.github.io/Logging_0428/kartor/A 16308-2024 karta.png", "A 16308-2024")</f>
        <v/>
      </c>
      <c r="V8">
        <f>HYPERLINK("https://klasma.github.io/Logging_0428/klagomål/A 16308-2024 FSC-klagomål.docx", "A 16308-2024")</f>
        <v/>
      </c>
      <c r="W8">
        <f>HYPERLINK("https://klasma.github.io/Logging_0428/klagomålsmail/A 16308-2024 FSC-klagomål mail.docx", "A 16308-2024")</f>
        <v/>
      </c>
      <c r="X8">
        <f>HYPERLINK("https://klasma.github.io/Logging_0428/tillsyn/A 16308-2024 tillsynsbegäran.docx", "A 16308-2024")</f>
        <v/>
      </c>
      <c r="Y8">
        <f>HYPERLINK("https://klasma.github.io/Logging_0428/tillsynsmail/A 16308-2024 tillsynsbegäran mail.docx", "A 16308-2024")</f>
        <v/>
      </c>
      <c r="Z8">
        <f>HYPERLINK("https://klasma.github.io/Logging_0428/fåglar/A 16308-2024 prioriterade fågelarter.docx", "A 16308-2024")</f>
        <v/>
      </c>
    </row>
    <row r="9" ht="15" customHeight="1">
      <c r="A9" t="inlineStr">
        <is>
          <t>A 35997-2019</t>
        </is>
      </c>
      <c r="B9" s="1" t="n">
        <v>43656</v>
      </c>
      <c r="C9" s="1" t="n">
        <v>45695</v>
      </c>
      <c r="D9" t="inlineStr">
        <is>
          <t>SÖDERMANLANDS LÄN</t>
        </is>
      </c>
      <c r="E9" t="inlineStr">
        <is>
          <t>VINGÅKER</t>
        </is>
      </c>
      <c r="G9" t="n">
        <v>4.9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Blåsippa</t>
        </is>
      </c>
      <c r="S9">
        <f>HYPERLINK("https://klasma.github.io/Logging_0428/artfynd/A 35997-2019 artfynd.xlsx", "A 35997-2019")</f>
        <v/>
      </c>
      <c r="T9">
        <f>HYPERLINK("https://klasma.github.io/Logging_0428/kartor/A 35997-2019 karta.png", "A 35997-2019")</f>
        <v/>
      </c>
      <c r="V9">
        <f>HYPERLINK("https://klasma.github.io/Logging_0428/klagomål/A 35997-2019 FSC-klagomål.docx", "A 35997-2019")</f>
        <v/>
      </c>
      <c r="W9">
        <f>HYPERLINK("https://klasma.github.io/Logging_0428/klagomålsmail/A 35997-2019 FSC-klagomål mail.docx", "A 35997-2019")</f>
        <v/>
      </c>
      <c r="X9">
        <f>HYPERLINK("https://klasma.github.io/Logging_0428/tillsyn/A 35997-2019 tillsynsbegäran.docx", "A 35997-2019")</f>
        <v/>
      </c>
      <c r="Y9">
        <f>HYPERLINK("https://klasma.github.io/Logging_0428/tillsynsmail/A 35997-2019 tillsynsbegäran mail.docx", "A 35997-2019")</f>
        <v/>
      </c>
    </row>
    <row r="10" ht="15" customHeight="1">
      <c r="A10" t="inlineStr">
        <is>
          <t>A 39788-2019</t>
        </is>
      </c>
      <c r="B10" s="1" t="n">
        <v>43692</v>
      </c>
      <c r="C10" s="1" t="n">
        <v>45695</v>
      </c>
      <c r="D10" t="inlineStr">
        <is>
          <t>SÖDERMANLANDS LÄN</t>
        </is>
      </c>
      <c r="E10" t="inlineStr">
        <is>
          <t>VINGÅKER</t>
        </is>
      </c>
      <c r="F10" t="inlineStr">
        <is>
          <t>Kyrkan</t>
        </is>
      </c>
      <c r="G10" t="n">
        <v>3.2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Zontaggsvamp</t>
        </is>
      </c>
      <c r="S10">
        <f>HYPERLINK("https://klasma.github.io/Logging_0428/artfynd/A 39788-2019 artfynd.xlsx", "A 39788-2019")</f>
        <v/>
      </c>
      <c r="T10">
        <f>HYPERLINK("https://klasma.github.io/Logging_0428/kartor/A 39788-2019 karta.png", "A 39788-2019")</f>
        <v/>
      </c>
      <c r="V10">
        <f>HYPERLINK("https://klasma.github.io/Logging_0428/klagomål/A 39788-2019 FSC-klagomål.docx", "A 39788-2019")</f>
        <v/>
      </c>
      <c r="W10">
        <f>HYPERLINK("https://klasma.github.io/Logging_0428/klagomålsmail/A 39788-2019 FSC-klagomål mail.docx", "A 39788-2019")</f>
        <v/>
      </c>
      <c r="X10">
        <f>HYPERLINK("https://klasma.github.io/Logging_0428/tillsyn/A 39788-2019 tillsynsbegäran.docx", "A 39788-2019")</f>
        <v/>
      </c>
      <c r="Y10">
        <f>HYPERLINK("https://klasma.github.io/Logging_0428/tillsynsmail/A 39788-2019 tillsynsbegäran mail.docx", "A 39788-2019")</f>
        <v/>
      </c>
    </row>
    <row r="11" ht="15" customHeight="1">
      <c r="A11" t="inlineStr">
        <is>
          <t>A 24223-2021</t>
        </is>
      </c>
      <c r="B11" s="1" t="n">
        <v>44336</v>
      </c>
      <c r="C11" s="1" t="n">
        <v>45695</v>
      </c>
      <c r="D11" t="inlineStr">
        <is>
          <t>SÖDERMANLANDS LÄN</t>
        </is>
      </c>
      <c r="E11" t="inlineStr">
        <is>
          <t>VINGÅKER</t>
        </is>
      </c>
      <c r="G11" t="n">
        <v>4.2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Blåsippa</t>
        </is>
      </c>
      <c r="S11">
        <f>HYPERLINK("https://klasma.github.io/Logging_0428/artfynd/A 24223-2021 artfynd.xlsx", "A 24223-2021")</f>
        <v/>
      </c>
      <c r="T11">
        <f>HYPERLINK("https://klasma.github.io/Logging_0428/kartor/A 24223-2021 karta.png", "A 24223-2021")</f>
        <v/>
      </c>
      <c r="V11">
        <f>HYPERLINK("https://klasma.github.io/Logging_0428/klagomål/A 24223-2021 FSC-klagomål.docx", "A 24223-2021")</f>
        <v/>
      </c>
      <c r="W11">
        <f>HYPERLINK("https://klasma.github.io/Logging_0428/klagomålsmail/A 24223-2021 FSC-klagomål mail.docx", "A 24223-2021")</f>
        <v/>
      </c>
      <c r="X11">
        <f>HYPERLINK("https://klasma.github.io/Logging_0428/tillsyn/A 24223-2021 tillsynsbegäran.docx", "A 24223-2021")</f>
        <v/>
      </c>
      <c r="Y11">
        <f>HYPERLINK("https://klasma.github.io/Logging_0428/tillsynsmail/A 24223-2021 tillsynsbegäran mail.docx", "A 24223-2021")</f>
        <v/>
      </c>
    </row>
    <row r="12" ht="15" customHeight="1">
      <c r="A12" t="inlineStr">
        <is>
          <t>A 24301-2021</t>
        </is>
      </c>
      <c r="B12" s="1" t="n">
        <v>44337</v>
      </c>
      <c r="C12" s="1" t="n">
        <v>45695</v>
      </c>
      <c r="D12" t="inlineStr">
        <is>
          <t>SÖDERMANLANDS LÄN</t>
        </is>
      </c>
      <c r="E12" t="inlineStr">
        <is>
          <t>VINGÅKER</t>
        </is>
      </c>
      <c r="F12" t="inlineStr">
        <is>
          <t>Sveaskog</t>
        </is>
      </c>
      <c r="G12" t="n">
        <v>1.7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Järpe</t>
        </is>
      </c>
      <c r="S12">
        <f>HYPERLINK("https://klasma.github.io/Logging_0428/artfynd/A 24301-2021 artfynd.xlsx", "A 24301-2021")</f>
        <v/>
      </c>
      <c r="T12">
        <f>HYPERLINK("https://klasma.github.io/Logging_0428/kartor/A 24301-2021 karta.png", "A 24301-2021")</f>
        <v/>
      </c>
      <c r="V12">
        <f>HYPERLINK("https://klasma.github.io/Logging_0428/klagomål/A 24301-2021 FSC-klagomål.docx", "A 24301-2021")</f>
        <v/>
      </c>
      <c r="W12">
        <f>HYPERLINK("https://klasma.github.io/Logging_0428/klagomålsmail/A 24301-2021 FSC-klagomål mail.docx", "A 24301-2021")</f>
        <v/>
      </c>
      <c r="X12">
        <f>HYPERLINK("https://klasma.github.io/Logging_0428/tillsyn/A 24301-2021 tillsynsbegäran.docx", "A 24301-2021")</f>
        <v/>
      </c>
      <c r="Y12">
        <f>HYPERLINK("https://klasma.github.io/Logging_0428/tillsynsmail/A 24301-2021 tillsynsbegäran mail.docx", "A 24301-2021")</f>
        <v/>
      </c>
      <c r="Z12">
        <f>HYPERLINK("https://klasma.github.io/Logging_0428/fåglar/A 24301-2021 prioriterade fågelarter.docx", "A 24301-2021")</f>
        <v/>
      </c>
    </row>
    <row r="13" ht="15" customHeight="1">
      <c r="A13" t="inlineStr">
        <is>
          <t>A 66246-2021</t>
        </is>
      </c>
      <c r="B13" s="1" t="n">
        <v>44518</v>
      </c>
      <c r="C13" s="1" t="n">
        <v>45695</v>
      </c>
      <c r="D13" t="inlineStr">
        <is>
          <t>SÖDERMANLANDS LÄN</t>
        </is>
      </c>
      <c r="E13" t="inlineStr">
        <is>
          <t>VINGÅKER</t>
        </is>
      </c>
      <c r="G13" t="n">
        <v>5.2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Dropptaggsvamp</t>
        </is>
      </c>
      <c r="S13">
        <f>HYPERLINK("https://klasma.github.io/Logging_0428/artfynd/A 66246-2021 artfynd.xlsx", "A 66246-2021")</f>
        <v/>
      </c>
      <c r="T13">
        <f>HYPERLINK("https://klasma.github.io/Logging_0428/kartor/A 66246-2021 karta.png", "A 66246-2021")</f>
        <v/>
      </c>
      <c r="V13">
        <f>HYPERLINK("https://klasma.github.io/Logging_0428/klagomål/A 66246-2021 FSC-klagomål.docx", "A 66246-2021")</f>
        <v/>
      </c>
      <c r="W13">
        <f>HYPERLINK("https://klasma.github.io/Logging_0428/klagomålsmail/A 66246-2021 FSC-klagomål mail.docx", "A 66246-2021")</f>
        <v/>
      </c>
      <c r="X13">
        <f>HYPERLINK("https://klasma.github.io/Logging_0428/tillsyn/A 66246-2021 tillsynsbegäran.docx", "A 66246-2021")</f>
        <v/>
      </c>
      <c r="Y13">
        <f>HYPERLINK("https://klasma.github.io/Logging_0428/tillsynsmail/A 66246-2021 tillsynsbegäran mail.docx", "A 66246-2021")</f>
        <v/>
      </c>
    </row>
    <row r="14" ht="15" customHeight="1">
      <c r="A14" t="inlineStr">
        <is>
          <t>A 66243-2021</t>
        </is>
      </c>
      <c r="B14" s="1" t="n">
        <v>44518</v>
      </c>
      <c r="C14" s="1" t="n">
        <v>45695</v>
      </c>
      <c r="D14" t="inlineStr">
        <is>
          <t>SÖDERMANLANDS LÄN</t>
        </is>
      </c>
      <c r="E14" t="inlineStr">
        <is>
          <t>VINGÅKER</t>
        </is>
      </c>
      <c r="G14" t="n">
        <v>7.8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Blomkålssvamp</t>
        </is>
      </c>
      <c r="S14">
        <f>HYPERLINK("https://klasma.github.io/Logging_0428/artfynd/A 66243-2021 artfynd.xlsx", "A 66243-2021")</f>
        <v/>
      </c>
      <c r="T14">
        <f>HYPERLINK("https://klasma.github.io/Logging_0428/kartor/A 66243-2021 karta.png", "A 66243-2021")</f>
        <v/>
      </c>
      <c r="V14">
        <f>HYPERLINK("https://klasma.github.io/Logging_0428/klagomål/A 66243-2021 FSC-klagomål.docx", "A 66243-2021")</f>
        <v/>
      </c>
      <c r="W14">
        <f>HYPERLINK("https://klasma.github.io/Logging_0428/klagomålsmail/A 66243-2021 FSC-klagomål mail.docx", "A 66243-2021")</f>
        <v/>
      </c>
      <c r="X14">
        <f>HYPERLINK("https://klasma.github.io/Logging_0428/tillsyn/A 66243-2021 tillsynsbegäran.docx", "A 66243-2021")</f>
        <v/>
      </c>
      <c r="Y14">
        <f>HYPERLINK("https://klasma.github.io/Logging_0428/tillsynsmail/A 66243-2021 tillsynsbegäran mail.docx", "A 66243-2021")</f>
        <v/>
      </c>
    </row>
    <row r="15" ht="15" customHeight="1">
      <c r="A15" t="inlineStr">
        <is>
          <t>A 7767-2022</t>
        </is>
      </c>
      <c r="B15" s="1" t="n">
        <v>44608</v>
      </c>
      <c r="C15" s="1" t="n">
        <v>45695</v>
      </c>
      <c r="D15" t="inlineStr">
        <is>
          <t>SÖDERMANLANDS LÄN</t>
        </is>
      </c>
      <c r="E15" t="inlineStr">
        <is>
          <t>VINGÅKER</t>
        </is>
      </c>
      <c r="G15" t="n">
        <v>11.5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Blomkålssvamp</t>
        </is>
      </c>
      <c r="S15">
        <f>HYPERLINK("https://klasma.github.io/Logging_0428/artfynd/A 7767-2022 artfynd.xlsx", "A 7767-2022")</f>
        <v/>
      </c>
      <c r="T15">
        <f>HYPERLINK("https://klasma.github.io/Logging_0428/kartor/A 7767-2022 karta.png", "A 7767-2022")</f>
        <v/>
      </c>
      <c r="V15">
        <f>HYPERLINK("https://klasma.github.io/Logging_0428/klagomål/A 7767-2022 FSC-klagomål.docx", "A 7767-2022")</f>
        <v/>
      </c>
      <c r="W15">
        <f>HYPERLINK("https://klasma.github.io/Logging_0428/klagomålsmail/A 7767-2022 FSC-klagomål mail.docx", "A 7767-2022")</f>
        <v/>
      </c>
      <c r="X15">
        <f>HYPERLINK("https://klasma.github.io/Logging_0428/tillsyn/A 7767-2022 tillsynsbegäran.docx", "A 7767-2022")</f>
        <v/>
      </c>
      <c r="Y15">
        <f>HYPERLINK("https://klasma.github.io/Logging_0428/tillsynsmail/A 7767-2022 tillsynsbegäran mail.docx", "A 7767-2022")</f>
        <v/>
      </c>
    </row>
    <row r="16" ht="15" customHeight="1">
      <c r="A16" t="inlineStr">
        <is>
          <t>A 32279-2023</t>
        </is>
      </c>
      <c r="B16" s="1" t="n">
        <v>45109</v>
      </c>
      <c r="C16" s="1" t="n">
        <v>45695</v>
      </c>
      <c r="D16" t="inlineStr">
        <is>
          <t>SÖDERMANLANDS LÄN</t>
        </is>
      </c>
      <c r="E16" t="inlineStr">
        <is>
          <t>VINGÅKER</t>
        </is>
      </c>
      <c r="G16" t="n">
        <v>11.8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Barkticka</t>
        </is>
      </c>
      <c r="S16">
        <f>HYPERLINK("https://klasma.github.io/Logging_0428/artfynd/A 32279-2023 artfynd.xlsx", "A 32279-2023")</f>
        <v/>
      </c>
      <c r="T16">
        <f>HYPERLINK("https://klasma.github.io/Logging_0428/kartor/A 32279-2023 karta.png", "A 32279-2023")</f>
        <v/>
      </c>
      <c r="V16">
        <f>HYPERLINK("https://klasma.github.io/Logging_0428/klagomål/A 32279-2023 FSC-klagomål.docx", "A 32279-2023")</f>
        <v/>
      </c>
      <c r="W16">
        <f>HYPERLINK("https://klasma.github.io/Logging_0428/klagomålsmail/A 32279-2023 FSC-klagomål mail.docx", "A 32279-2023")</f>
        <v/>
      </c>
      <c r="X16">
        <f>HYPERLINK("https://klasma.github.io/Logging_0428/tillsyn/A 32279-2023 tillsynsbegäran.docx", "A 32279-2023")</f>
        <v/>
      </c>
      <c r="Y16">
        <f>HYPERLINK("https://klasma.github.io/Logging_0428/tillsynsmail/A 32279-2023 tillsynsbegäran mail.docx", "A 32279-2023")</f>
        <v/>
      </c>
    </row>
    <row r="17" ht="15" customHeight="1">
      <c r="A17" t="inlineStr">
        <is>
          <t>A 18183-2024</t>
        </is>
      </c>
      <c r="B17" s="1" t="n">
        <v>45420</v>
      </c>
      <c r="C17" s="1" t="n">
        <v>45695</v>
      </c>
      <c r="D17" t="inlineStr">
        <is>
          <t>SÖDERMANLANDS LÄN</t>
        </is>
      </c>
      <c r="E17" t="inlineStr">
        <is>
          <t>VINGÅKER</t>
        </is>
      </c>
      <c r="G17" t="n">
        <v>8.199999999999999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Björksplintborre</t>
        </is>
      </c>
      <c r="S17">
        <f>HYPERLINK("https://klasma.github.io/Logging_0428/artfynd/A 18183-2024 artfynd.xlsx", "A 18183-2024")</f>
        <v/>
      </c>
      <c r="T17">
        <f>HYPERLINK("https://klasma.github.io/Logging_0428/kartor/A 18183-2024 karta.png", "A 18183-2024")</f>
        <v/>
      </c>
      <c r="V17">
        <f>HYPERLINK("https://klasma.github.io/Logging_0428/klagomål/A 18183-2024 FSC-klagomål.docx", "A 18183-2024")</f>
        <v/>
      </c>
      <c r="W17">
        <f>HYPERLINK("https://klasma.github.io/Logging_0428/klagomålsmail/A 18183-2024 FSC-klagomål mail.docx", "A 18183-2024")</f>
        <v/>
      </c>
      <c r="X17">
        <f>HYPERLINK("https://klasma.github.io/Logging_0428/tillsyn/A 18183-2024 tillsynsbegäran.docx", "A 18183-2024")</f>
        <v/>
      </c>
      <c r="Y17">
        <f>HYPERLINK("https://klasma.github.io/Logging_0428/tillsynsmail/A 18183-2024 tillsynsbegäran mail.docx", "A 18183-2024")</f>
        <v/>
      </c>
    </row>
    <row r="18" ht="15" customHeight="1">
      <c r="A18" t="inlineStr">
        <is>
          <t>A 29788-2024</t>
        </is>
      </c>
      <c r="B18" s="1" t="n">
        <v>45485</v>
      </c>
      <c r="C18" s="1" t="n">
        <v>45695</v>
      </c>
      <c r="D18" t="inlineStr">
        <is>
          <t>SÖDERMANLANDS LÄN</t>
        </is>
      </c>
      <c r="E18" t="inlineStr">
        <is>
          <t>VINGÅKER</t>
        </is>
      </c>
      <c r="G18" t="n">
        <v>7.4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HYPERLINK("https://klasma.github.io/Logging_0428/artfynd/A 29788-2024 artfynd.xlsx", "A 29788-2024")</f>
        <v/>
      </c>
      <c r="T18">
        <f>HYPERLINK("https://klasma.github.io/Logging_0428/kartor/A 29788-2024 karta.png", "A 29788-2024")</f>
        <v/>
      </c>
      <c r="U18">
        <f>HYPERLINK("https://klasma.github.io/Logging_0428/knärot/A 29788-2024 karta knärot.png", "A 29788-2024")</f>
        <v/>
      </c>
      <c r="V18">
        <f>HYPERLINK("https://klasma.github.io/Logging_0428/klagomål/A 29788-2024 FSC-klagomål.docx", "A 29788-2024")</f>
        <v/>
      </c>
      <c r="W18">
        <f>HYPERLINK("https://klasma.github.io/Logging_0428/klagomålsmail/A 29788-2024 FSC-klagomål mail.docx", "A 29788-2024")</f>
        <v/>
      </c>
      <c r="X18">
        <f>HYPERLINK("https://klasma.github.io/Logging_0428/tillsyn/A 29788-2024 tillsynsbegäran.docx", "A 29788-2024")</f>
        <v/>
      </c>
      <c r="Y18">
        <f>HYPERLINK("https://klasma.github.io/Logging_0428/tillsynsmail/A 29788-2024 tillsynsbegäran mail.docx", "A 29788-2024")</f>
        <v/>
      </c>
    </row>
    <row r="19" ht="15" customHeight="1">
      <c r="A19" t="inlineStr">
        <is>
          <t>A 18632-2019</t>
        </is>
      </c>
      <c r="B19" s="1" t="n">
        <v>43559</v>
      </c>
      <c r="C19" s="1" t="n">
        <v>45695</v>
      </c>
      <c r="D19" t="inlineStr">
        <is>
          <t>SÖDERMANLANDS LÄN</t>
        </is>
      </c>
      <c r="E19" t="inlineStr">
        <is>
          <t>VINGÅKER</t>
        </is>
      </c>
      <c r="G19" t="n">
        <v>6.4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19449-2019</t>
        </is>
      </c>
      <c r="B20" s="1" t="n">
        <v>43565</v>
      </c>
      <c r="C20" s="1" t="n">
        <v>45695</v>
      </c>
      <c r="D20" t="inlineStr">
        <is>
          <t>SÖDERMANLANDS LÄN</t>
        </is>
      </c>
      <c r="E20" t="inlineStr">
        <is>
          <t>VINGÅKER</t>
        </is>
      </c>
      <c r="G20" t="n">
        <v>2.7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20729-2019</t>
        </is>
      </c>
      <c r="B21" s="1" t="n">
        <v>43573</v>
      </c>
      <c r="C21" s="1" t="n">
        <v>45695</v>
      </c>
      <c r="D21" t="inlineStr">
        <is>
          <t>SÖDERMANLANDS LÄN</t>
        </is>
      </c>
      <c r="E21" t="inlineStr">
        <is>
          <t>VINGÅKER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21575-2019</t>
        </is>
      </c>
      <c r="B22" s="1" t="n">
        <v>43580</v>
      </c>
      <c r="C22" s="1" t="n">
        <v>45695</v>
      </c>
      <c r="D22" t="inlineStr">
        <is>
          <t>SÖDERMANLANDS LÄN</t>
        </is>
      </c>
      <c r="E22" t="inlineStr">
        <is>
          <t>VINGÅKER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21632-2019</t>
        </is>
      </c>
      <c r="B23" s="1" t="n">
        <v>43580</v>
      </c>
      <c r="C23" s="1" t="n">
        <v>45695</v>
      </c>
      <c r="D23" t="inlineStr">
        <is>
          <t>SÖDERMANLANDS LÄN</t>
        </is>
      </c>
      <c r="E23" t="inlineStr">
        <is>
          <t>VINGÅKER</t>
        </is>
      </c>
      <c r="G23" t="n">
        <v>4.6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21630-2019</t>
        </is>
      </c>
      <c r="B24" s="1" t="n">
        <v>43580</v>
      </c>
      <c r="C24" s="1" t="n">
        <v>45695</v>
      </c>
      <c r="D24" t="inlineStr">
        <is>
          <t>SÖDERMANLANDS LÄN</t>
        </is>
      </c>
      <c r="E24" t="inlineStr">
        <is>
          <t>VINGÅKER</t>
        </is>
      </c>
      <c r="G24" t="n">
        <v>4.2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21627-2019</t>
        </is>
      </c>
      <c r="B25" s="1" t="n">
        <v>43580</v>
      </c>
      <c r="C25" s="1" t="n">
        <v>45695</v>
      </c>
      <c r="D25" t="inlineStr">
        <is>
          <t>SÖDERMANLANDS LÄN</t>
        </is>
      </c>
      <c r="E25" t="inlineStr">
        <is>
          <t>VINGÅKER</t>
        </is>
      </c>
      <c r="G25" t="n">
        <v>13.1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22503-2019</t>
        </is>
      </c>
      <c r="B26" s="1" t="n">
        <v>43587</v>
      </c>
      <c r="C26" s="1" t="n">
        <v>45695</v>
      </c>
      <c r="D26" t="inlineStr">
        <is>
          <t>SÖDERMANLANDS LÄN</t>
        </is>
      </c>
      <c r="E26" t="inlineStr">
        <is>
          <t>VINGÅKER</t>
        </is>
      </c>
      <c r="G26" t="n">
        <v>4.1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23244-2019</t>
        </is>
      </c>
      <c r="B27" s="1" t="n">
        <v>43592</v>
      </c>
      <c r="C27" s="1" t="n">
        <v>45695</v>
      </c>
      <c r="D27" t="inlineStr">
        <is>
          <t>SÖDERMANLANDS LÄN</t>
        </is>
      </c>
      <c r="E27" t="inlineStr">
        <is>
          <t>VINGÅKER</t>
        </is>
      </c>
      <c r="F27" t="inlineStr">
        <is>
          <t>Kyrkan</t>
        </is>
      </c>
      <c r="G27" t="n">
        <v>2.9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26460-2019</t>
        </is>
      </c>
      <c r="B28" s="1" t="n">
        <v>43606</v>
      </c>
      <c r="C28" s="1" t="n">
        <v>45695</v>
      </c>
      <c r="D28" t="inlineStr">
        <is>
          <t>SÖDERMANLANDS LÄN</t>
        </is>
      </c>
      <c r="E28" t="inlineStr">
        <is>
          <t>VINGÅKER</t>
        </is>
      </c>
      <c r="G28" t="n">
        <v>2.8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25805-2019</t>
        </is>
      </c>
      <c r="B29" s="1" t="n">
        <v>43608</v>
      </c>
      <c r="C29" s="1" t="n">
        <v>45695</v>
      </c>
      <c r="D29" t="inlineStr">
        <is>
          <t>SÖDERMANLANDS LÄN</t>
        </is>
      </c>
      <c r="E29" t="inlineStr">
        <is>
          <t>VINGÅKER</t>
        </is>
      </c>
      <c r="G29" t="n">
        <v>6.6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25807-2019</t>
        </is>
      </c>
      <c r="B30" s="1" t="n">
        <v>43608</v>
      </c>
      <c r="C30" s="1" t="n">
        <v>45695</v>
      </c>
      <c r="D30" t="inlineStr">
        <is>
          <t>SÖDERMANLANDS LÄN</t>
        </is>
      </c>
      <c r="E30" t="inlineStr">
        <is>
          <t>VINGÅKER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25802-2019</t>
        </is>
      </c>
      <c r="B31" s="1" t="n">
        <v>43608</v>
      </c>
      <c r="C31" s="1" t="n">
        <v>45695</v>
      </c>
      <c r="D31" t="inlineStr">
        <is>
          <t>SÖDERMANLANDS LÄN</t>
        </is>
      </c>
      <c r="E31" t="inlineStr">
        <is>
          <t>VINGÅKER</t>
        </is>
      </c>
      <c r="G31" t="n">
        <v>20.2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26873-2019</t>
        </is>
      </c>
      <c r="B32" s="1" t="n">
        <v>43608</v>
      </c>
      <c r="C32" s="1" t="n">
        <v>45695</v>
      </c>
      <c r="D32" t="inlineStr">
        <is>
          <t>SÖDERMANLANDS LÄN</t>
        </is>
      </c>
      <c r="E32" t="inlineStr">
        <is>
          <t>VINGÅKER</t>
        </is>
      </c>
      <c r="G32" t="n">
        <v>5.4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26848-2019</t>
        </is>
      </c>
      <c r="B33" s="1" t="n">
        <v>43613</v>
      </c>
      <c r="C33" s="1" t="n">
        <v>45695</v>
      </c>
      <c r="D33" t="inlineStr">
        <is>
          <t>SÖDERMANLANDS LÄN</t>
        </is>
      </c>
      <c r="E33" t="inlineStr">
        <is>
          <t>VINGÅKER</t>
        </is>
      </c>
      <c r="F33" t="inlineStr">
        <is>
          <t>Kyrkan</t>
        </is>
      </c>
      <c r="G33" t="n">
        <v>2.6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28511-2019</t>
        </is>
      </c>
      <c r="B34" s="1" t="n">
        <v>43626</v>
      </c>
      <c r="C34" s="1" t="n">
        <v>45695</v>
      </c>
      <c r="D34" t="inlineStr">
        <is>
          <t>SÖDERMANLANDS LÄN</t>
        </is>
      </c>
      <c r="E34" t="inlineStr">
        <is>
          <t>VINGÅKER</t>
        </is>
      </c>
      <c r="G34" t="n">
        <v>9.699999999999999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29258-2019</t>
        </is>
      </c>
      <c r="B35" s="1" t="n">
        <v>43629</v>
      </c>
      <c r="C35" s="1" t="n">
        <v>45695</v>
      </c>
      <c r="D35" t="inlineStr">
        <is>
          <t>SÖDERMANLANDS LÄN</t>
        </is>
      </c>
      <c r="E35" t="inlineStr">
        <is>
          <t>VINGÅKER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31832-2019</t>
        </is>
      </c>
      <c r="B36" s="1" t="n">
        <v>43640</v>
      </c>
      <c r="C36" s="1" t="n">
        <v>45695</v>
      </c>
      <c r="D36" t="inlineStr">
        <is>
          <t>SÖDERMANLANDS LÄN</t>
        </is>
      </c>
      <c r="E36" t="inlineStr">
        <is>
          <t>VINGÅKER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31818-2019</t>
        </is>
      </c>
      <c r="B37" s="1" t="n">
        <v>43640</v>
      </c>
      <c r="C37" s="1" t="n">
        <v>45695</v>
      </c>
      <c r="D37" t="inlineStr">
        <is>
          <t>SÖDERMANLANDS LÄN</t>
        </is>
      </c>
      <c r="E37" t="inlineStr">
        <is>
          <t>VINGÅKER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31835-2019</t>
        </is>
      </c>
      <c r="B38" s="1" t="n">
        <v>43640</v>
      </c>
      <c r="C38" s="1" t="n">
        <v>45695</v>
      </c>
      <c r="D38" t="inlineStr">
        <is>
          <t>SÖDERMANLANDS LÄN</t>
        </is>
      </c>
      <c r="E38" t="inlineStr">
        <is>
          <t>VINGÅKER</t>
        </is>
      </c>
      <c r="G38" t="n">
        <v>2.7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32789-2019</t>
        </is>
      </c>
      <c r="B39" s="1" t="n">
        <v>43648</v>
      </c>
      <c r="C39" s="1" t="n">
        <v>45695</v>
      </c>
      <c r="D39" t="inlineStr">
        <is>
          <t>SÖDERMANLANDS LÄN</t>
        </is>
      </c>
      <c r="E39" t="inlineStr">
        <is>
          <t>VINGÅKER</t>
        </is>
      </c>
      <c r="G39" t="n">
        <v>2.4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33819-2019</t>
        </is>
      </c>
      <c r="B40" s="1" t="n">
        <v>43651</v>
      </c>
      <c r="C40" s="1" t="n">
        <v>45695</v>
      </c>
      <c r="D40" t="inlineStr">
        <is>
          <t>SÖDERMANLANDS LÄN</t>
        </is>
      </c>
      <c r="E40" t="inlineStr">
        <is>
          <t>VINGÅKER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34226-2019</t>
        </is>
      </c>
      <c r="B41" s="1" t="n">
        <v>43655</v>
      </c>
      <c r="C41" s="1" t="n">
        <v>45695</v>
      </c>
      <c r="D41" t="inlineStr">
        <is>
          <t>SÖDERMANLANDS LÄN</t>
        </is>
      </c>
      <c r="E41" t="inlineStr">
        <is>
          <t>VINGÅKER</t>
        </is>
      </c>
      <c r="G41" t="n">
        <v>2.6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34459-2019</t>
        </is>
      </c>
      <c r="B42" s="1" t="n">
        <v>43656</v>
      </c>
      <c r="C42" s="1" t="n">
        <v>45695</v>
      </c>
      <c r="D42" t="inlineStr">
        <is>
          <t>SÖDERMANLANDS LÄN</t>
        </is>
      </c>
      <c r="E42" t="inlineStr">
        <is>
          <t>VINGÅKER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34457-2019</t>
        </is>
      </c>
      <c r="B43" s="1" t="n">
        <v>43656</v>
      </c>
      <c r="C43" s="1" t="n">
        <v>45695</v>
      </c>
      <c r="D43" t="inlineStr">
        <is>
          <t>SÖDERMANLANDS LÄN</t>
        </is>
      </c>
      <c r="E43" t="inlineStr">
        <is>
          <t>VINGÅKER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35802-2019</t>
        </is>
      </c>
      <c r="B44" s="1" t="n">
        <v>43656</v>
      </c>
      <c r="C44" s="1" t="n">
        <v>45695</v>
      </c>
      <c r="D44" t="inlineStr">
        <is>
          <t>SÖDERMANLANDS LÄN</t>
        </is>
      </c>
      <c r="E44" t="inlineStr">
        <is>
          <t>VINGÅKER</t>
        </is>
      </c>
      <c r="G44" t="n">
        <v>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35796-2019</t>
        </is>
      </c>
      <c r="B45" s="1" t="n">
        <v>43656</v>
      </c>
      <c r="C45" s="1" t="n">
        <v>45695</v>
      </c>
      <c r="D45" t="inlineStr">
        <is>
          <t>SÖDERMANLANDS LÄN</t>
        </is>
      </c>
      <c r="E45" t="inlineStr">
        <is>
          <t>VINGÅKER</t>
        </is>
      </c>
      <c r="G45" t="n">
        <v>7.3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35773-2019</t>
        </is>
      </c>
      <c r="B46" s="1" t="n">
        <v>43665</v>
      </c>
      <c r="C46" s="1" t="n">
        <v>45695</v>
      </c>
      <c r="D46" t="inlineStr">
        <is>
          <t>SÖDERMANLANDS LÄN</t>
        </is>
      </c>
      <c r="E46" t="inlineStr">
        <is>
          <t>VINGÅKER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36479-2019</t>
        </is>
      </c>
      <c r="B47" s="1" t="n">
        <v>43670</v>
      </c>
      <c r="C47" s="1" t="n">
        <v>45695</v>
      </c>
      <c r="D47" t="inlineStr">
        <is>
          <t>SÖDERMANLANDS LÄN</t>
        </is>
      </c>
      <c r="E47" t="inlineStr">
        <is>
          <t>VINGÅKER</t>
        </is>
      </c>
      <c r="G47" t="n">
        <v>4.5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37062-2019</t>
        </is>
      </c>
      <c r="B48" s="1" t="n">
        <v>43676</v>
      </c>
      <c r="C48" s="1" t="n">
        <v>45695</v>
      </c>
      <c r="D48" t="inlineStr">
        <is>
          <t>SÖDERMANLANDS LÄN</t>
        </is>
      </c>
      <c r="E48" t="inlineStr">
        <is>
          <t>VINGÅKER</t>
        </is>
      </c>
      <c r="G48" t="n">
        <v>6.7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37742-2019</t>
        </is>
      </c>
      <c r="B49" s="1" t="n">
        <v>43679</v>
      </c>
      <c r="C49" s="1" t="n">
        <v>45695</v>
      </c>
      <c r="D49" t="inlineStr">
        <is>
          <t>SÖDERMANLANDS LÄN</t>
        </is>
      </c>
      <c r="E49" t="inlineStr">
        <is>
          <t>VINGÅKER</t>
        </is>
      </c>
      <c r="G49" t="n">
        <v>3.6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38875-2019</t>
        </is>
      </c>
      <c r="B50" s="1" t="n">
        <v>43689</v>
      </c>
      <c r="C50" s="1" t="n">
        <v>45695</v>
      </c>
      <c r="D50" t="inlineStr">
        <is>
          <t>SÖDERMANLANDS LÄN</t>
        </is>
      </c>
      <c r="E50" t="inlineStr">
        <is>
          <t>VINGÅKER</t>
        </is>
      </c>
      <c r="F50" t="inlineStr">
        <is>
          <t>Kommuner</t>
        </is>
      </c>
      <c r="G50" t="n">
        <v>4.5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39736-2019</t>
        </is>
      </c>
      <c r="B51" s="1" t="n">
        <v>43691</v>
      </c>
      <c r="C51" s="1" t="n">
        <v>45695</v>
      </c>
      <c r="D51" t="inlineStr">
        <is>
          <t>SÖDERMANLANDS LÄN</t>
        </is>
      </c>
      <c r="E51" t="inlineStr">
        <is>
          <t>VINGÅKER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39771-2019</t>
        </is>
      </c>
      <c r="B52" s="1" t="n">
        <v>43692</v>
      </c>
      <c r="C52" s="1" t="n">
        <v>45695</v>
      </c>
      <c r="D52" t="inlineStr">
        <is>
          <t>SÖDERMANLANDS LÄN</t>
        </is>
      </c>
      <c r="E52" t="inlineStr">
        <is>
          <t>VINGÅKER</t>
        </is>
      </c>
      <c r="F52" t="inlineStr">
        <is>
          <t>Kyrkan</t>
        </is>
      </c>
      <c r="G52" t="n">
        <v>12.2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41293-2019</t>
        </is>
      </c>
      <c r="B53" s="1" t="n">
        <v>43698</v>
      </c>
      <c r="C53" s="1" t="n">
        <v>45695</v>
      </c>
      <c r="D53" t="inlineStr">
        <is>
          <t>SÖDERMANLANDS LÄN</t>
        </is>
      </c>
      <c r="E53" t="inlineStr">
        <is>
          <t>VINGÅKER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41934-2019</t>
        </is>
      </c>
      <c r="B54" s="1" t="n">
        <v>43700</v>
      </c>
      <c r="C54" s="1" t="n">
        <v>45695</v>
      </c>
      <c r="D54" t="inlineStr">
        <is>
          <t>SÖDERMANLANDS LÄN</t>
        </is>
      </c>
      <c r="E54" t="inlineStr">
        <is>
          <t>VINGÅKER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42675-2019</t>
        </is>
      </c>
      <c r="B55" s="1" t="n">
        <v>43704</v>
      </c>
      <c r="C55" s="1" t="n">
        <v>45695</v>
      </c>
      <c r="D55" t="inlineStr">
        <is>
          <t>SÖDERMANLANDS LÄN</t>
        </is>
      </c>
      <c r="E55" t="inlineStr">
        <is>
          <t>VINGÅKER</t>
        </is>
      </c>
      <c r="G55" t="n">
        <v>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43110-2019</t>
        </is>
      </c>
      <c r="B56" s="1" t="n">
        <v>43705</v>
      </c>
      <c r="C56" s="1" t="n">
        <v>45695</v>
      </c>
      <c r="D56" t="inlineStr">
        <is>
          <t>SÖDERMANLANDS LÄN</t>
        </is>
      </c>
      <c r="E56" t="inlineStr">
        <is>
          <t>VINGÅKER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44764-2019</t>
        </is>
      </c>
      <c r="B57" s="1" t="n">
        <v>43712</v>
      </c>
      <c r="C57" s="1" t="n">
        <v>45695</v>
      </c>
      <c r="D57" t="inlineStr">
        <is>
          <t>SÖDERMANLANDS LÄN</t>
        </is>
      </c>
      <c r="E57" t="inlineStr">
        <is>
          <t>VINGÅKER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46419-2019</t>
        </is>
      </c>
      <c r="B58" s="1" t="n">
        <v>43716</v>
      </c>
      <c r="C58" s="1" t="n">
        <v>45695</v>
      </c>
      <c r="D58" t="inlineStr">
        <is>
          <t>SÖDERMANLANDS LÄN</t>
        </is>
      </c>
      <c r="E58" t="inlineStr">
        <is>
          <t>VINGÅKER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47200-2019</t>
        </is>
      </c>
      <c r="B59" s="1" t="n">
        <v>43721</v>
      </c>
      <c r="C59" s="1" t="n">
        <v>45695</v>
      </c>
      <c r="D59" t="inlineStr">
        <is>
          <t>SÖDERMANLANDS LÄN</t>
        </is>
      </c>
      <c r="E59" t="inlineStr">
        <is>
          <t>VINGÅKER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47208-2019</t>
        </is>
      </c>
      <c r="B60" s="1" t="n">
        <v>43721</v>
      </c>
      <c r="C60" s="1" t="n">
        <v>45695</v>
      </c>
      <c r="D60" t="inlineStr">
        <is>
          <t>SÖDERMANLANDS LÄN</t>
        </is>
      </c>
      <c r="E60" t="inlineStr">
        <is>
          <t>VINGÅKER</t>
        </is>
      </c>
      <c r="G60" t="n">
        <v>4.7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47599-2019</t>
        </is>
      </c>
      <c r="B61" s="1" t="n">
        <v>43724</v>
      </c>
      <c r="C61" s="1" t="n">
        <v>45695</v>
      </c>
      <c r="D61" t="inlineStr">
        <is>
          <t>SÖDERMANLANDS LÄN</t>
        </is>
      </c>
      <c r="E61" t="inlineStr">
        <is>
          <t>VINGÅKER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47537-2019</t>
        </is>
      </c>
      <c r="B62" s="1" t="n">
        <v>43724</v>
      </c>
      <c r="C62" s="1" t="n">
        <v>45695</v>
      </c>
      <c r="D62" t="inlineStr">
        <is>
          <t>SÖDERMANLANDS LÄN</t>
        </is>
      </c>
      <c r="E62" t="inlineStr">
        <is>
          <t>VINGÅKER</t>
        </is>
      </c>
      <c r="F62" t="inlineStr">
        <is>
          <t>Övriga Aktiebolag</t>
        </is>
      </c>
      <c r="G62" t="n">
        <v>4.6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47553-2019</t>
        </is>
      </c>
      <c r="B63" s="1" t="n">
        <v>43724</v>
      </c>
      <c r="C63" s="1" t="n">
        <v>45695</v>
      </c>
      <c r="D63" t="inlineStr">
        <is>
          <t>SÖDERMANLANDS LÄN</t>
        </is>
      </c>
      <c r="E63" t="inlineStr">
        <is>
          <t>VINGÅKER</t>
        </is>
      </c>
      <c r="F63" t="inlineStr">
        <is>
          <t>Övriga Aktiebolag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47866-2019</t>
        </is>
      </c>
      <c r="B64" s="1" t="n">
        <v>43725</v>
      </c>
      <c r="C64" s="1" t="n">
        <v>45695</v>
      </c>
      <c r="D64" t="inlineStr">
        <is>
          <t>SÖDERMANLANDS LÄN</t>
        </is>
      </c>
      <c r="E64" t="inlineStr">
        <is>
          <t>VINGÅKER</t>
        </is>
      </c>
      <c r="G64" t="n">
        <v>5.3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49088-2019</t>
        </is>
      </c>
      <c r="B65" s="1" t="n">
        <v>43731</v>
      </c>
      <c r="C65" s="1" t="n">
        <v>45695</v>
      </c>
      <c r="D65" t="inlineStr">
        <is>
          <t>SÖDERMANLANDS LÄN</t>
        </is>
      </c>
      <c r="E65" t="inlineStr">
        <is>
          <t>VINGÅKER</t>
        </is>
      </c>
      <c r="G65" t="n">
        <v>11.5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49101-2019</t>
        </is>
      </c>
      <c r="B66" s="1" t="n">
        <v>43731</v>
      </c>
      <c r="C66" s="1" t="n">
        <v>45695</v>
      </c>
      <c r="D66" t="inlineStr">
        <is>
          <t>SÖDERMANLANDS LÄN</t>
        </is>
      </c>
      <c r="E66" t="inlineStr">
        <is>
          <t>VINGÅKER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49320-2019</t>
        </is>
      </c>
      <c r="B67" s="1" t="n">
        <v>43731</v>
      </c>
      <c r="C67" s="1" t="n">
        <v>45695</v>
      </c>
      <c r="D67" t="inlineStr">
        <is>
          <t>SÖDERMANLANDS LÄN</t>
        </is>
      </c>
      <c r="E67" t="inlineStr">
        <is>
          <t>VINGÅKER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49315-2019</t>
        </is>
      </c>
      <c r="B68" s="1" t="n">
        <v>43731</v>
      </c>
      <c r="C68" s="1" t="n">
        <v>45695</v>
      </c>
      <c r="D68" t="inlineStr">
        <is>
          <t>SÖDERMANLANDS LÄN</t>
        </is>
      </c>
      <c r="E68" t="inlineStr">
        <is>
          <t>VINGÅKER</t>
        </is>
      </c>
      <c r="G68" t="n">
        <v>7.3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51122-2019</t>
        </is>
      </c>
      <c r="B69" s="1" t="n">
        <v>43732</v>
      </c>
      <c r="C69" s="1" t="n">
        <v>45695</v>
      </c>
      <c r="D69" t="inlineStr">
        <is>
          <t>SÖDERMANLANDS LÄN</t>
        </is>
      </c>
      <c r="E69" t="inlineStr">
        <is>
          <t>VINGÅKER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50184-2019</t>
        </is>
      </c>
      <c r="B70" s="1" t="n">
        <v>43733</v>
      </c>
      <c r="C70" s="1" t="n">
        <v>45695</v>
      </c>
      <c r="D70" t="inlineStr">
        <is>
          <t>SÖDERMANLANDS LÄN</t>
        </is>
      </c>
      <c r="E70" t="inlineStr">
        <is>
          <t>VINGÅKER</t>
        </is>
      </c>
      <c r="F70" t="inlineStr">
        <is>
          <t>Övriga Aktiebolag</t>
        </is>
      </c>
      <c r="G70" t="n">
        <v>6.6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50192-2019</t>
        </is>
      </c>
      <c r="B71" s="1" t="n">
        <v>43733</v>
      </c>
      <c r="C71" s="1" t="n">
        <v>45695</v>
      </c>
      <c r="D71" t="inlineStr">
        <is>
          <t>SÖDERMANLANDS LÄN</t>
        </is>
      </c>
      <c r="E71" t="inlineStr">
        <is>
          <t>VINGÅKER</t>
        </is>
      </c>
      <c r="F71" t="inlineStr">
        <is>
          <t>Övriga Aktiebolag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52086-2019</t>
        </is>
      </c>
      <c r="B72" s="1" t="n">
        <v>43735</v>
      </c>
      <c r="C72" s="1" t="n">
        <v>45695</v>
      </c>
      <c r="D72" t="inlineStr">
        <is>
          <t>SÖDERMANLANDS LÄN</t>
        </is>
      </c>
      <c r="E72" t="inlineStr">
        <is>
          <t>VINGÅKER</t>
        </is>
      </c>
      <c r="F72" t="inlineStr">
        <is>
          <t>Övriga Aktiebolag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52147-2019</t>
        </is>
      </c>
      <c r="B73" s="1" t="n">
        <v>43735</v>
      </c>
      <c r="C73" s="1" t="n">
        <v>45695</v>
      </c>
      <c r="D73" t="inlineStr">
        <is>
          <t>SÖDERMANLANDS LÄN</t>
        </is>
      </c>
      <c r="E73" t="inlineStr">
        <is>
          <t>VINGÅKER</t>
        </is>
      </c>
      <c r="F73" t="inlineStr">
        <is>
          <t>Övriga Aktiebolag</t>
        </is>
      </c>
      <c r="G73" t="n">
        <v>3.3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51151-2019</t>
        </is>
      </c>
      <c r="B74" s="1" t="n">
        <v>43739</v>
      </c>
      <c r="C74" s="1" t="n">
        <v>45695</v>
      </c>
      <c r="D74" t="inlineStr">
        <is>
          <t>SÖDERMANLANDS LÄN</t>
        </is>
      </c>
      <c r="E74" t="inlineStr">
        <is>
          <t>VINGÅKER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51139-2019</t>
        </is>
      </c>
      <c r="B75" s="1" t="n">
        <v>43739</v>
      </c>
      <c r="C75" s="1" t="n">
        <v>45695</v>
      </c>
      <c r="D75" t="inlineStr">
        <is>
          <t>SÖDERMANLANDS LÄN</t>
        </is>
      </c>
      <c r="E75" t="inlineStr">
        <is>
          <t>VINGÅKER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51636-2019</t>
        </is>
      </c>
      <c r="B76" s="1" t="n">
        <v>43740</v>
      </c>
      <c r="C76" s="1" t="n">
        <v>45695</v>
      </c>
      <c r="D76" t="inlineStr">
        <is>
          <t>SÖDERMANLANDS LÄN</t>
        </is>
      </c>
      <c r="E76" t="inlineStr">
        <is>
          <t>VINGÅKER</t>
        </is>
      </c>
      <c r="G76" t="n">
        <v>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52889-2019</t>
        </is>
      </c>
      <c r="B77" s="1" t="n">
        <v>43740</v>
      </c>
      <c r="C77" s="1" t="n">
        <v>45695</v>
      </c>
      <c r="D77" t="inlineStr">
        <is>
          <t>SÖDERMANLANDS LÄN</t>
        </is>
      </c>
      <c r="E77" t="inlineStr">
        <is>
          <t>VINGÅKER</t>
        </is>
      </c>
      <c r="G77" t="n">
        <v>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51637-2019</t>
        </is>
      </c>
      <c r="B78" s="1" t="n">
        <v>43740</v>
      </c>
      <c r="C78" s="1" t="n">
        <v>45695</v>
      </c>
      <c r="D78" t="inlineStr">
        <is>
          <t>SÖDERMANLANDS LÄN</t>
        </is>
      </c>
      <c r="E78" t="inlineStr">
        <is>
          <t>VINGÅKER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52892-2019</t>
        </is>
      </c>
      <c r="B79" s="1" t="n">
        <v>43740</v>
      </c>
      <c r="C79" s="1" t="n">
        <v>45695</v>
      </c>
      <c r="D79" t="inlineStr">
        <is>
          <t>SÖDERMANLANDS LÄN</t>
        </is>
      </c>
      <c r="E79" t="inlineStr">
        <is>
          <t>VINGÅKER</t>
        </is>
      </c>
      <c r="G79" t="n">
        <v>3.3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52894-2019</t>
        </is>
      </c>
      <c r="B80" s="1" t="n">
        <v>43740</v>
      </c>
      <c r="C80" s="1" t="n">
        <v>45695</v>
      </c>
      <c r="D80" t="inlineStr">
        <is>
          <t>SÖDERMANLANDS LÄN</t>
        </is>
      </c>
      <c r="E80" t="inlineStr">
        <is>
          <t>VINGÅKER</t>
        </is>
      </c>
      <c r="G80" t="n">
        <v>5.5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52550-2019</t>
        </is>
      </c>
      <c r="B81" s="1" t="n">
        <v>43745</v>
      </c>
      <c r="C81" s="1" t="n">
        <v>45695</v>
      </c>
      <c r="D81" t="inlineStr">
        <is>
          <t>SÖDERMANLANDS LÄN</t>
        </is>
      </c>
      <c r="E81" t="inlineStr">
        <is>
          <t>VINGÅKER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52314-2019</t>
        </is>
      </c>
      <c r="B82" s="1" t="n">
        <v>43745</v>
      </c>
      <c r="C82" s="1" t="n">
        <v>45695</v>
      </c>
      <c r="D82" t="inlineStr">
        <is>
          <t>SÖDERMANLANDS LÄN</t>
        </is>
      </c>
      <c r="E82" t="inlineStr">
        <is>
          <t>VINGÅKER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53145-2019</t>
        </is>
      </c>
      <c r="B83" s="1" t="n">
        <v>43747</v>
      </c>
      <c r="C83" s="1" t="n">
        <v>45695</v>
      </c>
      <c r="D83" t="inlineStr">
        <is>
          <t>SÖDERMANLANDS LÄN</t>
        </is>
      </c>
      <c r="E83" t="inlineStr">
        <is>
          <t>VINGÅKER</t>
        </is>
      </c>
      <c r="G83" t="n">
        <v>8.1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54686-2019</t>
        </is>
      </c>
      <c r="B84" s="1" t="n">
        <v>43754</v>
      </c>
      <c r="C84" s="1" t="n">
        <v>45695</v>
      </c>
      <c r="D84" t="inlineStr">
        <is>
          <t>SÖDERMANLANDS LÄN</t>
        </is>
      </c>
      <c r="E84" t="inlineStr">
        <is>
          <t>VINGÅKER</t>
        </is>
      </c>
      <c r="G84" t="n">
        <v>11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54685-2019</t>
        </is>
      </c>
      <c r="B85" s="1" t="n">
        <v>43754</v>
      </c>
      <c r="C85" s="1" t="n">
        <v>45695</v>
      </c>
      <c r="D85" t="inlineStr">
        <is>
          <t>SÖDERMANLANDS LÄN</t>
        </is>
      </c>
      <c r="E85" t="inlineStr">
        <is>
          <t>VINGÅKER</t>
        </is>
      </c>
      <c r="G85" t="n">
        <v>10.8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55964-2019</t>
        </is>
      </c>
      <c r="B86" s="1" t="n">
        <v>43759</v>
      </c>
      <c r="C86" s="1" t="n">
        <v>45695</v>
      </c>
      <c r="D86" t="inlineStr">
        <is>
          <t>SÖDERMANLANDS LÄN</t>
        </is>
      </c>
      <c r="E86" t="inlineStr">
        <is>
          <t>VINGÅKER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55748-2019</t>
        </is>
      </c>
      <c r="B87" s="1" t="n">
        <v>43759</v>
      </c>
      <c r="C87" s="1" t="n">
        <v>45695</v>
      </c>
      <c r="D87" t="inlineStr">
        <is>
          <t>SÖDERMANLANDS LÄN</t>
        </is>
      </c>
      <c r="E87" t="inlineStr">
        <is>
          <t>VINGÅKER</t>
        </is>
      </c>
      <c r="G87" t="n">
        <v>6.6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57010-2019</t>
        </is>
      </c>
      <c r="B88" s="1" t="n">
        <v>43766</v>
      </c>
      <c r="C88" s="1" t="n">
        <v>45695</v>
      </c>
      <c r="D88" t="inlineStr">
        <is>
          <t>SÖDERMANLANDS LÄN</t>
        </is>
      </c>
      <c r="E88" t="inlineStr">
        <is>
          <t>VINGÅKER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57286-2019</t>
        </is>
      </c>
      <c r="B89" s="1" t="n">
        <v>43767</v>
      </c>
      <c r="C89" s="1" t="n">
        <v>45695</v>
      </c>
      <c r="D89" t="inlineStr">
        <is>
          <t>SÖDERMANLANDS LÄN</t>
        </is>
      </c>
      <c r="E89" t="inlineStr">
        <is>
          <t>VINGÅKER</t>
        </is>
      </c>
      <c r="G89" t="n">
        <v>4.5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58159-2019</t>
        </is>
      </c>
      <c r="B90" s="1" t="n">
        <v>43769</v>
      </c>
      <c r="C90" s="1" t="n">
        <v>45695</v>
      </c>
      <c r="D90" t="inlineStr">
        <is>
          <t>SÖDERMANLANDS LÄN</t>
        </is>
      </c>
      <c r="E90" t="inlineStr">
        <is>
          <t>VINGÅKER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59765-2019</t>
        </is>
      </c>
      <c r="B91" s="1" t="n">
        <v>43776</v>
      </c>
      <c r="C91" s="1" t="n">
        <v>45695</v>
      </c>
      <c r="D91" t="inlineStr">
        <is>
          <t>SÖDERMANLANDS LÄN</t>
        </is>
      </c>
      <c r="E91" t="inlineStr">
        <is>
          <t>VINGÅKER</t>
        </is>
      </c>
      <c r="G91" t="n">
        <v>2.7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59767-2019</t>
        </is>
      </c>
      <c r="B92" s="1" t="n">
        <v>43776</v>
      </c>
      <c r="C92" s="1" t="n">
        <v>45695</v>
      </c>
      <c r="D92" t="inlineStr">
        <is>
          <t>SÖDERMANLANDS LÄN</t>
        </is>
      </c>
      <c r="E92" t="inlineStr">
        <is>
          <t>VINGÅKER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60408-2019</t>
        </is>
      </c>
      <c r="B93" s="1" t="n">
        <v>43780</v>
      </c>
      <c r="C93" s="1" t="n">
        <v>45695</v>
      </c>
      <c r="D93" t="inlineStr">
        <is>
          <t>SÖDERMANLANDS LÄN</t>
        </is>
      </c>
      <c r="E93" t="inlineStr">
        <is>
          <t>VINGÅKER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60431-2019</t>
        </is>
      </c>
      <c r="B94" s="1" t="n">
        <v>43780</v>
      </c>
      <c r="C94" s="1" t="n">
        <v>45695</v>
      </c>
      <c r="D94" t="inlineStr">
        <is>
          <t>SÖDERMANLANDS LÄN</t>
        </is>
      </c>
      <c r="E94" t="inlineStr">
        <is>
          <t>VINGÅKER</t>
        </is>
      </c>
      <c r="G94" t="n">
        <v>14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62158-2019</t>
        </is>
      </c>
      <c r="B95" s="1" t="n">
        <v>43787</v>
      </c>
      <c r="C95" s="1" t="n">
        <v>45695</v>
      </c>
      <c r="D95" t="inlineStr">
        <is>
          <t>SÖDERMANLANDS LÄN</t>
        </is>
      </c>
      <c r="E95" t="inlineStr">
        <is>
          <t>VINGÅKER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63377-2019</t>
        </is>
      </c>
      <c r="B96" s="1" t="n">
        <v>43794</v>
      </c>
      <c r="C96" s="1" t="n">
        <v>45695</v>
      </c>
      <c r="D96" t="inlineStr">
        <is>
          <t>SÖDERMANLANDS LÄN</t>
        </is>
      </c>
      <c r="E96" t="inlineStr">
        <is>
          <t>VINGÅKER</t>
        </is>
      </c>
      <c r="G96" t="n">
        <v>3.9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63541-2019</t>
        </is>
      </c>
      <c r="B97" s="1" t="n">
        <v>43794</v>
      </c>
      <c r="C97" s="1" t="n">
        <v>45695</v>
      </c>
      <c r="D97" t="inlineStr">
        <is>
          <t>SÖDERMANLANDS LÄN</t>
        </is>
      </c>
      <c r="E97" t="inlineStr">
        <is>
          <t>VINGÅKER</t>
        </is>
      </c>
      <c r="G97" t="n">
        <v>6.5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65680-2019</t>
        </is>
      </c>
      <c r="B98" s="1" t="n">
        <v>43804</v>
      </c>
      <c r="C98" s="1" t="n">
        <v>45695</v>
      </c>
      <c r="D98" t="inlineStr">
        <is>
          <t>SÖDERMANLANDS LÄN</t>
        </is>
      </c>
      <c r="E98" t="inlineStr">
        <is>
          <t>VINGÅKER</t>
        </is>
      </c>
      <c r="G98" t="n">
        <v>5.1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67340-2019</t>
        </is>
      </c>
      <c r="B99" s="1" t="n">
        <v>43812</v>
      </c>
      <c r="C99" s="1" t="n">
        <v>45695</v>
      </c>
      <c r="D99" t="inlineStr">
        <is>
          <t>SÖDERMANLANDS LÄN</t>
        </is>
      </c>
      <c r="E99" t="inlineStr">
        <is>
          <t>VINGÅKER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769-2020</t>
        </is>
      </c>
      <c r="B100" s="1" t="n">
        <v>43817</v>
      </c>
      <c r="C100" s="1" t="n">
        <v>45695</v>
      </c>
      <c r="D100" t="inlineStr">
        <is>
          <t>SÖDERMANLANDS LÄN</t>
        </is>
      </c>
      <c r="E100" t="inlineStr">
        <is>
          <t>VINGÅKER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2229-2020</t>
        </is>
      </c>
      <c r="B101" s="1" t="n">
        <v>43846</v>
      </c>
      <c r="C101" s="1" t="n">
        <v>45695</v>
      </c>
      <c r="D101" t="inlineStr">
        <is>
          <t>SÖDERMANLANDS LÄN</t>
        </is>
      </c>
      <c r="E101" t="inlineStr">
        <is>
          <t>VINGÅKER</t>
        </is>
      </c>
      <c r="G101" t="n">
        <v>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2411-2020</t>
        </is>
      </c>
      <c r="B102" s="1" t="n">
        <v>43847</v>
      </c>
      <c r="C102" s="1" t="n">
        <v>45695</v>
      </c>
      <c r="D102" t="inlineStr">
        <is>
          <t>SÖDERMANLANDS LÄN</t>
        </is>
      </c>
      <c r="E102" t="inlineStr">
        <is>
          <t>VINGÅKER</t>
        </is>
      </c>
      <c r="G102" t="n">
        <v>5.8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3360-2020</t>
        </is>
      </c>
      <c r="B103" s="1" t="n">
        <v>43852</v>
      </c>
      <c r="C103" s="1" t="n">
        <v>45695</v>
      </c>
      <c r="D103" t="inlineStr">
        <is>
          <t>SÖDERMANLANDS LÄN</t>
        </is>
      </c>
      <c r="E103" t="inlineStr">
        <is>
          <t>VINGÅKER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3963-2020</t>
        </is>
      </c>
      <c r="B104" s="1" t="n">
        <v>43854</v>
      </c>
      <c r="C104" s="1" t="n">
        <v>45695</v>
      </c>
      <c r="D104" t="inlineStr">
        <is>
          <t>SÖDERMANLANDS LÄN</t>
        </is>
      </c>
      <c r="E104" t="inlineStr">
        <is>
          <t>VINGÅKER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6302-2020</t>
        </is>
      </c>
      <c r="B105" s="1" t="n">
        <v>43866</v>
      </c>
      <c r="C105" s="1" t="n">
        <v>45695</v>
      </c>
      <c r="D105" t="inlineStr">
        <is>
          <t>SÖDERMANLANDS LÄN</t>
        </is>
      </c>
      <c r="E105" t="inlineStr">
        <is>
          <t>VINGÅKER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6348-2020</t>
        </is>
      </c>
      <c r="B106" s="1" t="n">
        <v>43866</v>
      </c>
      <c r="C106" s="1" t="n">
        <v>45695</v>
      </c>
      <c r="D106" t="inlineStr">
        <is>
          <t>SÖDERMANLANDS LÄN</t>
        </is>
      </c>
      <c r="E106" t="inlineStr">
        <is>
          <t>VINGÅKER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6412-2020</t>
        </is>
      </c>
      <c r="B107" s="1" t="n">
        <v>43866</v>
      </c>
      <c r="C107" s="1" t="n">
        <v>45695</v>
      </c>
      <c r="D107" t="inlineStr">
        <is>
          <t>SÖDERMANLANDS LÄN</t>
        </is>
      </c>
      <c r="E107" t="inlineStr">
        <is>
          <t>VINGÅKER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7041-2020</t>
        </is>
      </c>
      <c r="B108" s="1" t="n">
        <v>43868</v>
      </c>
      <c r="C108" s="1" t="n">
        <v>45695</v>
      </c>
      <c r="D108" t="inlineStr">
        <is>
          <t>SÖDERMANLANDS LÄN</t>
        </is>
      </c>
      <c r="E108" t="inlineStr">
        <is>
          <t>VINGÅKER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7576-2020</t>
        </is>
      </c>
      <c r="B109" s="1" t="n">
        <v>43871</v>
      </c>
      <c r="C109" s="1" t="n">
        <v>45695</v>
      </c>
      <c r="D109" t="inlineStr">
        <is>
          <t>SÖDERMANLANDS LÄN</t>
        </is>
      </c>
      <c r="E109" t="inlineStr">
        <is>
          <t>VINGÅKER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7572-2020</t>
        </is>
      </c>
      <c r="B110" s="1" t="n">
        <v>43871</v>
      </c>
      <c r="C110" s="1" t="n">
        <v>45695</v>
      </c>
      <c r="D110" t="inlineStr">
        <is>
          <t>SÖDERMANLANDS LÄN</t>
        </is>
      </c>
      <c r="E110" t="inlineStr">
        <is>
          <t>VINGÅKER</t>
        </is>
      </c>
      <c r="G110" t="n">
        <v>5.9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7773-2020</t>
        </is>
      </c>
      <c r="B111" s="1" t="n">
        <v>43872</v>
      </c>
      <c r="C111" s="1" t="n">
        <v>45695</v>
      </c>
      <c r="D111" t="inlineStr">
        <is>
          <t>SÖDERMANLANDS LÄN</t>
        </is>
      </c>
      <c r="E111" t="inlineStr">
        <is>
          <t>VINGÅKER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9450-2020</t>
        </is>
      </c>
      <c r="B112" s="1" t="n">
        <v>43880</v>
      </c>
      <c r="C112" s="1" t="n">
        <v>45695</v>
      </c>
      <c r="D112" t="inlineStr">
        <is>
          <t>SÖDERMANLANDS LÄN</t>
        </is>
      </c>
      <c r="E112" t="inlineStr">
        <is>
          <t>VINGÅKER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9807-2020</t>
        </is>
      </c>
      <c r="B113" s="1" t="n">
        <v>43881</v>
      </c>
      <c r="C113" s="1" t="n">
        <v>45695</v>
      </c>
      <c r="D113" t="inlineStr">
        <is>
          <t>SÖDERMANLANDS LÄN</t>
        </is>
      </c>
      <c r="E113" t="inlineStr">
        <is>
          <t>VINGÅKER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10473-2020</t>
        </is>
      </c>
      <c r="B114" s="1" t="n">
        <v>43886</v>
      </c>
      <c r="C114" s="1" t="n">
        <v>45695</v>
      </c>
      <c r="D114" t="inlineStr">
        <is>
          <t>SÖDERMANLANDS LÄN</t>
        </is>
      </c>
      <c r="E114" t="inlineStr">
        <is>
          <t>VINGÅKER</t>
        </is>
      </c>
      <c r="G114" t="n">
        <v>2.9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10549-2020</t>
        </is>
      </c>
      <c r="B115" s="1" t="n">
        <v>43886</v>
      </c>
      <c r="C115" s="1" t="n">
        <v>45695</v>
      </c>
      <c r="D115" t="inlineStr">
        <is>
          <t>SÖDERMANLANDS LÄN</t>
        </is>
      </c>
      <c r="E115" t="inlineStr">
        <is>
          <t>VINGÅKER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11730-2020</t>
        </is>
      </c>
      <c r="B116" s="1" t="n">
        <v>43893</v>
      </c>
      <c r="C116" s="1" t="n">
        <v>45695</v>
      </c>
      <c r="D116" t="inlineStr">
        <is>
          <t>SÖDERMANLANDS LÄN</t>
        </is>
      </c>
      <c r="E116" t="inlineStr">
        <is>
          <t>VINGÅKER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12294-2020</t>
        </is>
      </c>
      <c r="B117" s="1" t="n">
        <v>43895</v>
      </c>
      <c r="C117" s="1" t="n">
        <v>45695</v>
      </c>
      <c r="D117" t="inlineStr">
        <is>
          <t>SÖDERMANLANDS LÄN</t>
        </is>
      </c>
      <c r="E117" t="inlineStr">
        <is>
          <t>VINGÅKER</t>
        </is>
      </c>
      <c r="G117" t="n">
        <v>2.8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12291-2020</t>
        </is>
      </c>
      <c r="B118" s="1" t="n">
        <v>43895</v>
      </c>
      <c r="C118" s="1" t="n">
        <v>45695</v>
      </c>
      <c r="D118" t="inlineStr">
        <is>
          <t>SÖDERMANLANDS LÄN</t>
        </is>
      </c>
      <c r="E118" t="inlineStr">
        <is>
          <t>VINGÅKER</t>
        </is>
      </c>
      <c r="G118" t="n">
        <v>9.6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14115-2020</t>
        </is>
      </c>
      <c r="B119" s="1" t="n">
        <v>43899</v>
      </c>
      <c r="C119" s="1" t="n">
        <v>45695</v>
      </c>
      <c r="D119" t="inlineStr">
        <is>
          <t>SÖDERMANLANDS LÄN</t>
        </is>
      </c>
      <c r="E119" t="inlineStr">
        <is>
          <t>VINGÅKER</t>
        </is>
      </c>
      <c r="F119" t="inlineStr">
        <is>
          <t>Övriga Aktiebolag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15613-2020</t>
        </is>
      </c>
      <c r="B120" s="1" t="n">
        <v>43914</v>
      </c>
      <c r="C120" s="1" t="n">
        <v>45695</v>
      </c>
      <c r="D120" t="inlineStr">
        <is>
          <t>SÖDERMANLANDS LÄN</t>
        </is>
      </c>
      <c r="E120" t="inlineStr">
        <is>
          <t>VINGÅKER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15616-2020</t>
        </is>
      </c>
      <c r="B121" s="1" t="n">
        <v>43914</v>
      </c>
      <c r="C121" s="1" t="n">
        <v>45695</v>
      </c>
      <c r="D121" t="inlineStr">
        <is>
          <t>SÖDERMANLANDS LÄN</t>
        </is>
      </c>
      <c r="E121" t="inlineStr">
        <is>
          <t>VINGÅKER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15471-2020</t>
        </is>
      </c>
      <c r="B122" s="1" t="n">
        <v>43914</v>
      </c>
      <c r="C122" s="1" t="n">
        <v>45695</v>
      </c>
      <c r="D122" t="inlineStr">
        <is>
          <t>SÖDERMANLANDS LÄN</t>
        </is>
      </c>
      <c r="E122" t="inlineStr">
        <is>
          <t>VINGÅKER</t>
        </is>
      </c>
      <c r="G122" t="n">
        <v>5.5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17199-2020</t>
        </is>
      </c>
      <c r="B123" s="1" t="n">
        <v>43915</v>
      </c>
      <c r="C123" s="1" t="n">
        <v>45695</v>
      </c>
      <c r="D123" t="inlineStr">
        <is>
          <t>SÖDERMANLANDS LÄN</t>
        </is>
      </c>
      <c r="E123" t="inlineStr">
        <is>
          <t>VINGÅKER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20668-2020</t>
        </is>
      </c>
      <c r="B124" s="1" t="n">
        <v>43948</v>
      </c>
      <c r="C124" s="1" t="n">
        <v>45695</v>
      </c>
      <c r="D124" t="inlineStr">
        <is>
          <t>SÖDERMANLANDS LÄN</t>
        </is>
      </c>
      <c r="E124" t="inlineStr">
        <is>
          <t>VINGÅKER</t>
        </is>
      </c>
      <c r="F124" t="inlineStr">
        <is>
          <t>Övriga Aktiebolag</t>
        </is>
      </c>
      <c r="G124" t="n">
        <v>4.5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22206-2020</t>
        </is>
      </c>
      <c r="B125" s="1" t="n">
        <v>43955</v>
      </c>
      <c r="C125" s="1" t="n">
        <v>45695</v>
      </c>
      <c r="D125" t="inlineStr">
        <is>
          <t>SÖDERMANLANDS LÄN</t>
        </is>
      </c>
      <c r="E125" t="inlineStr">
        <is>
          <t>VINGÅKER</t>
        </is>
      </c>
      <c r="G125" t="n">
        <v>3.3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21683-2020</t>
        </is>
      </c>
      <c r="B126" s="1" t="n">
        <v>43957</v>
      </c>
      <c r="C126" s="1" t="n">
        <v>45695</v>
      </c>
      <c r="D126" t="inlineStr">
        <is>
          <t>SÖDERMANLANDS LÄN</t>
        </is>
      </c>
      <c r="E126" t="inlineStr">
        <is>
          <t>VINGÅKER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21733-2020</t>
        </is>
      </c>
      <c r="B127" s="1" t="n">
        <v>43957</v>
      </c>
      <c r="C127" s="1" t="n">
        <v>45695</v>
      </c>
      <c r="D127" t="inlineStr">
        <is>
          <t>SÖDERMANLANDS LÄN</t>
        </is>
      </c>
      <c r="E127" t="inlineStr">
        <is>
          <t>VINGÅKER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21675-2020</t>
        </is>
      </c>
      <c r="B128" s="1" t="n">
        <v>43957</v>
      </c>
      <c r="C128" s="1" t="n">
        <v>45695</v>
      </c>
      <c r="D128" t="inlineStr">
        <is>
          <t>SÖDERMANLANDS LÄN</t>
        </is>
      </c>
      <c r="E128" t="inlineStr">
        <is>
          <t>VINGÅKER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22183-2020</t>
        </is>
      </c>
      <c r="B129" s="1" t="n">
        <v>43962</v>
      </c>
      <c r="C129" s="1" t="n">
        <v>45695</v>
      </c>
      <c r="D129" t="inlineStr">
        <is>
          <t>SÖDERMANLANDS LÄN</t>
        </is>
      </c>
      <c r="E129" t="inlineStr">
        <is>
          <t>VINGÅKER</t>
        </is>
      </c>
      <c r="G129" t="n">
        <v>3.1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26251-2020</t>
        </is>
      </c>
      <c r="B130" s="1" t="n">
        <v>43986</v>
      </c>
      <c r="C130" s="1" t="n">
        <v>45695</v>
      </c>
      <c r="D130" t="inlineStr">
        <is>
          <t>SÖDERMANLANDS LÄN</t>
        </is>
      </c>
      <c r="E130" t="inlineStr">
        <is>
          <t>VINGÅKER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26468-2020</t>
        </is>
      </c>
      <c r="B131" s="1" t="n">
        <v>43987</v>
      </c>
      <c r="C131" s="1" t="n">
        <v>45695</v>
      </c>
      <c r="D131" t="inlineStr">
        <is>
          <t>SÖDERMANLANDS LÄN</t>
        </is>
      </c>
      <c r="E131" t="inlineStr">
        <is>
          <t>VINGÅKER</t>
        </is>
      </c>
      <c r="G131" t="n">
        <v>8.9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28433-2020</t>
        </is>
      </c>
      <c r="B132" s="1" t="n">
        <v>43998</v>
      </c>
      <c r="C132" s="1" t="n">
        <v>45695</v>
      </c>
      <c r="D132" t="inlineStr">
        <is>
          <t>SÖDERMANLANDS LÄN</t>
        </is>
      </c>
      <c r="E132" t="inlineStr">
        <is>
          <t>VINGÅKER</t>
        </is>
      </c>
      <c r="G132" t="n">
        <v>3.5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28442-2020</t>
        </is>
      </c>
      <c r="B133" s="1" t="n">
        <v>43998</v>
      </c>
      <c r="C133" s="1" t="n">
        <v>45695</v>
      </c>
      <c r="D133" t="inlineStr">
        <is>
          <t>SÖDERMANLANDS LÄN</t>
        </is>
      </c>
      <c r="E133" t="inlineStr">
        <is>
          <t>VINGÅKER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28394-2020</t>
        </is>
      </c>
      <c r="B134" s="1" t="n">
        <v>43998</v>
      </c>
      <c r="C134" s="1" t="n">
        <v>45695</v>
      </c>
      <c r="D134" t="inlineStr">
        <is>
          <t>SÖDERMANLANDS LÄN</t>
        </is>
      </c>
      <c r="E134" t="inlineStr">
        <is>
          <t>VINGÅKER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28426-2020</t>
        </is>
      </c>
      <c r="B135" s="1" t="n">
        <v>43998</v>
      </c>
      <c r="C135" s="1" t="n">
        <v>45695</v>
      </c>
      <c r="D135" t="inlineStr">
        <is>
          <t>SÖDERMANLANDS LÄN</t>
        </is>
      </c>
      <c r="E135" t="inlineStr">
        <is>
          <t>VINGÅKER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28444-2020</t>
        </is>
      </c>
      <c r="B136" s="1" t="n">
        <v>43998</v>
      </c>
      <c r="C136" s="1" t="n">
        <v>45695</v>
      </c>
      <c r="D136" t="inlineStr">
        <is>
          <t>SÖDERMANLANDS LÄN</t>
        </is>
      </c>
      <c r="E136" t="inlineStr">
        <is>
          <t>VINGÅKER</t>
        </is>
      </c>
      <c r="G136" t="n">
        <v>0.3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28440-2020</t>
        </is>
      </c>
      <c r="B137" s="1" t="n">
        <v>43998</v>
      </c>
      <c r="C137" s="1" t="n">
        <v>45695</v>
      </c>
      <c r="D137" t="inlineStr">
        <is>
          <t>SÖDERMANLANDS LÄN</t>
        </is>
      </c>
      <c r="E137" t="inlineStr">
        <is>
          <t>VINGÅKER</t>
        </is>
      </c>
      <c r="G137" t="n">
        <v>6.3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28430-2020</t>
        </is>
      </c>
      <c r="B138" s="1" t="n">
        <v>43998</v>
      </c>
      <c r="C138" s="1" t="n">
        <v>45695</v>
      </c>
      <c r="D138" t="inlineStr">
        <is>
          <t>SÖDERMANLANDS LÄN</t>
        </is>
      </c>
      <c r="E138" t="inlineStr">
        <is>
          <t>VINGÅKER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28439-2020</t>
        </is>
      </c>
      <c r="B139" s="1" t="n">
        <v>43998</v>
      </c>
      <c r="C139" s="1" t="n">
        <v>45695</v>
      </c>
      <c r="D139" t="inlineStr">
        <is>
          <t>SÖDERMANLANDS LÄN</t>
        </is>
      </c>
      <c r="E139" t="inlineStr">
        <is>
          <t>VINGÅKER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28445-2020</t>
        </is>
      </c>
      <c r="B140" s="1" t="n">
        <v>43998</v>
      </c>
      <c r="C140" s="1" t="n">
        <v>45695</v>
      </c>
      <c r="D140" t="inlineStr">
        <is>
          <t>SÖDERMANLANDS LÄN</t>
        </is>
      </c>
      <c r="E140" t="inlineStr">
        <is>
          <t>VINGÅKER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29130-2020</t>
        </is>
      </c>
      <c r="B141" s="1" t="n">
        <v>43999</v>
      </c>
      <c r="C141" s="1" t="n">
        <v>45695</v>
      </c>
      <c r="D141" t="inlineStr">
        <is>
          <t>SÖDERMANLANDS LÄN</t>
        </is>
      </c>
      <c r="E141" t="inlineStr">
        <is>
          <t>VINGÅKER</t>
        </is>
      </c>
      <c r="G141" t="n">
        <v>4.2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31393-2020</t>
        </is>
      </c>
      <c r="B142" s="1" t="n">
        <v>44012</v>
      </c>
      <c r="C142" s="1" t="n">
        <v>45695</v>
      </c>
      <c r="D142" t="inlineStr">
        <is>
          <t>SÖDERMANLANDS LÄN</t>
        </is>
      </c>
      <c r="E142" t="inlineStr">
        <is>
          <t>VINGÅKER</t>
        </is>
      </c>
      <c r="G142" t="n">
        <v>3.4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31392-2020</t>
        </is>
      </c>
      <c r="B143" s="1" t="n">
        <v>44012</v>
      </c>
      <c r="C143" s="1" t="n">
        <v>45695</v>
      </c>
      <c r="D143" t="inlineStr">
        <is>
          <t>SÖDERMANLANDS LÄN</t>
        </is>
      </c>
      <c r="E143" t="inlineStr">
        <is>
          <t>VINGÅKER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34717-2020</t>
        </is>
      </c>
      <c r="B144" s="1" t="n">
        <v>44035</v>
      </c>
      <c r="C144" s="1" t="n">
        <v>45695</v>
      </c>
      <c r="D144" t="inlineStr">
        <is>
          <t>SÖDERMANLANDS LÄN</t>
        </is>
      </c>
      <c r="E144" t="inlineStr">
        <is>
          <t>VINGÅKER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35443-2020</t>
        </is>
      </c>
      <c r="B145" s="1" t="n">
        <v>44042</v>
      </c>
      <c r="C145" s="1" t="n">
        <v>45695</v>
      </c>
      <c r="D145" t="inlineStr">
        <is>
          <t>SÖDERMANLANDS LÄN</t>
        </is>
      </c>
      <c r="E145" t="inlineStr">
        <is>
          <t>VINGÅKER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36096-2020</t>
        </is>
      </c>
      <c r="B146" s="1" t="n">
        <v>44048</v>
      </c>
      <c r="C146" s="1" t="n">
        <v>45695</v>
      </c>
      <c r="D146" t="inlineStr">
        <is>
          <t>SÖDERMANLANDS LÄN</t>
        </is>
      </c>
      <c r="E146" t="inlineStr">
        <is>
          <t>VINGÅKER</t>
        </is>
      </c>
      <c r="G146" t="n">
        <v>12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37092-2020</t>
        </is>
      </c>
      <c r="B147" s="1" t="n">
        <v>44054</v>
      </c>
      <c r="C147" s="1" t="n">
        <v>45695</v>
      </c>
      <c r="D147" t="inlineStr">
        <is>
          <t>SÖDERMANLANDS LÄN</t>
        </is>
      </c>
      <c r="E147" t="inlineStr">
        <is>
          <t>VINGÅKER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39866-2020</t>
        </is>
      </c>
      <c r="B148" s="1" t="n">
        <v>44064</v>
      </c>
      <c r="C148" s="1" t="n">
        <v>45695</v>
      </c>
      <c r="D148" t="inlineStr">
        <is>
          <t>SÖDERMANLANDS LÄN</t>
        </is>
      </c>
      <c r="E148" t="inlineStr">
        <is>
          <t>VINGÅKER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40840-2020</t>
        </is>
      </c>
      <c r="B149" s="1" t="n">
        <v>44070</v>
      </c>
      <c r="C149" s="1" t="n">
        <v>45695</v>
      </c>
      <c r="D149" t="inlineStr">
        <is>
          <t>SÖDERMANLANDS LÄN</t>
        </is>
      </c>
      <c r="E149" t="inlineStr">
        <is>
          <t>VINGÅKER</t>
        </is>
      </c>
      <c r="F149" t="inlineStr">
        <is>
          <t>Övriga Aktiebolag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43597-2020</t>
        </is>
      </c>
      <c r="B150" s="1" t="n">
        <v>44082</v>
      </c>
      <c r="C150" s="1" t="n">
        <v>45695</v>
      </c>
      <c r="D150" t="inlineStr">
        <is>
          <t>SÖDERMANLANDS LÄN</t>
        </is>
      </c>
      <c r="E150" t="inlineStr">
        <is>
          <t>VINGÅKER</t>
        </is>
      </c>
      <c r="F150" t="inlineStr">
        <is>
          <t>Övriga Aktiebolag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44252-2020</t>
        </is>
      </c>
      <c r="B151" s="1" t="n">
        <v>44082</v>
      </c>
      <c r="C151" s="1" t="n">
        <v>45695</v>
      </c>
      <c r="D151" t="inlineStr">
        <is>
          <t>SÖDERMANLANDS LÄN</t>
        </is>
      </c>
      <c r="E151" t="inlineStr">
        <is>
          <t>VINGÅKER</t>
        </is>
      </c>
      <c r="G151" t="n">
        <v>10.9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45167-2020</t>
        </is>
      </c>
      <c r="B152" s="1" t="n">
        <v>44088</v>
      </c>
      <c r="C152" s="1" t="n">
        <v>45695</v>
      </c>
      <c r="D152" t="inlineStr">
        <is>
          <t>SÖDERMANLANDS LÄN</t>
        </is>
      </c>
      <c r="E152" t="inlineStr">
        <is>
          <t>VINGÅKER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45500-2020</t>
        </is>
      </c>
      <c r="B153" s="1" t="n">
        <v>44089</v>
      </c>
      <c r="C153" s="1" t="n">
        <v>45695</v>
      </c>
      <c r="D153" t="inlineStr">
        <is>
          <t>SÖDERMANLANDS LÄN</t>
        </is>
      </c>
      <c r="E153" t="inlineStr">
        <is>
          <t>VINGÅKER</t>
        </is>
      </c>
      <c r="G153" t="n">
        <v>17.4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45431-2020</t>
        </is>
      </c>
      <c r="B154" s="1" t="n">
        <v>44089</v>
      </c>
      <c r="C154" s="1" t="n">
        <v>45695</v>
      </c>
      <c r="D154" t="inlineStr">
        <is>
          <t>SÖDERMANLANDS LÄN</t>
        </is>
      </c>
      <c r="E154" t="inlineStr">
        <is>
          <t>VINGÅKER</t>
        </is>
      </c>
      <c r="G154" t="n">
        <v>13.5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45461-2020</t>
        </is>
      </c>
      <c r="B155" s="1" t="n">
        <v>44089</v>
      </c>
      <c r="C155" s="1" t="n">
        <v>45695</v>
      </c>
      <c r="D155" t="inlineStr">
        <is>
          <t>SÖDERMANLANDS LÄN</t>
        </is>
      </c>
      <c r="E155" t="inlineStr">
        <is>
          <t>VINGÅKER</t>
        </is>
      </c>
      <c r="G155" t="n">
        <v>57.8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45387-2020</t>
        </is>
      </c>
      <c r="B156" s="1" t="n">
        <v>44089</v>
      </c>
      <c r="C156" s="1" t="n">
        <v>45695</v>
      </c>
      <c r="D156" t="inlineStr">
        <is>
          <t>SÖDERMANLANDS LÄN</t>
        </is>
      </c>
      <c r="E156" t="inlineStr">
        <is>
          <t>VINGÅKER</t>
        </is>
      </c>
      <c r="G156" t="n">
        <v>12.6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46401-2020</t>
        </is>
      </c>
      <c r="B157" s="1" t="n">
        <v>44094</v>
      </c>
      <c r="C157" s="1" t="n">
        <v>45695</v>
      </c>
      <c r="D157" t="inlineStr">
        <is>
          <t>SÖDERMANLANDS LÄN</t>
        </is>
      </c>
      <c r="E157" t="inlineStr">
        <is>
          <t>VINGÅKER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46402-2020</t>
        </is>
      </c>
      <c r="B158" s="1" t="n">
        <v>44094</v>
      </c>
      <c r="C158" s="1" t="n">
        <v>45695</v>
      </c>
      <c r="D158" t="inlineStr">
        <is>
          <t>SÖDERMANLANDS LÄN</t>
        </is>
      </c>
      <c r="E158" t="inlineStr">
        <is>
          <t>VINGÅKER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52454-2020</t>
        </is>
      </c>
      <c r="B159" s="1" t="n">
        <v>44113</v>
      </c>
      <c r="C159" s="1" t="n">
        <v>45695</v>
      </c>
      <c r="D159" t="inlineStr">
        <is>
          <t>SÖDERMANLANDS LÄN</t>
        </is>
      </c>
      <c r="E159" t="inlineStr">
        <is>
          <t>VINGÅKER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52458-2020</t>
        </is>
      </c>
      <c r="B160" s="1" t="n">
        <v>44113</v>
      </c>
      <c r="C160" s="1" t="n">
        <v>45695</v>
      </c>
      <c r="D160" t="inlineStr">
        <is>
          <t>SÖDERMANLANDS LÄN</t>
        </is>
      </c>
      <c r="E160" t="inlineStr">
        <is>
          <t>VINGÅKER</t>
        </is>
      </c>
      <c r="G160" t="n">
        <v>6.9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52064-2020</t>
        </is>
      </c>
      <c r="B161" s="1" t="n">
        <v>44117</v>
      </c>
      <c r="C161" s="1" t="n">
        <v>45695</v>
      </c>
      <c r="D161" t="inlineStr">
        <is>
          <t>SÖDERMANLANDS LÄN</t>
        </is>
      </c>
      <c r="E161" t="inlineStr">
        <is>
          <t>VINGÅKER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53767-2020</t>
        </is>
      </c>
      <c r="B162" s="1" t="n">
        <v>44124</v>
      </c>
      <c r="C162" s="1" t="n">
        <v>45695</v>
      </c>
      <c r="D162" t="inlineStr">
        <is>
          <t>SÖDERMANLANDS LÄN</t>
        </is>
      </c>
      <c r="E162" t="inlineStr">
        <is>
          <t>VINGÅKER</t>
        </is>
      </c>
      <c r="G162" t="n">
        <v>2.5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54129-2020</t>
        </is>
      </c>
      <c r="B163" s="1" t="n">
        <v>44124</v>
      </c>
      <c r="C163" s="1" t="n">
        <v>45695</v>
      </c>
      <c r="D163" t="inlineStr">
        <is>
          <t>SÖDERMANLANDS LÄN</t>
        </is>
      </c>
      <c r="E163" t="inlineStr">
        <is>
          <t>VINGÅKER</t>
        </is>
      </c>
      <c r="G163" t="n">
        <v>4.3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54115-2020</t>
        </is>
      </c>
      <c r="B164" s="1" t="n">
        <v>44124</v>
      </c>
      <c r="C164" s="1" t="n">
        <v>45695</v>
      </c>
      <c r="D164" t="inlineStr">
        <is>
          <t>SÖDERMANLANDS LÄN</t>
        </is>
      </c>
      <c r="E164" t="inlineStr">
        <is>
          <t>VINGÅKER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54914-2020</t>
        </is>
      </c>
      <c r="B165" s="1" t="n">
        <v>44127</v>
      </c>
      <c r="C165" s="1" t="n">
        <v>45695</v>
      </c>
      <c r="D165" t="inlineStr">
        <is>
          <t>SÖDERMANLANDS LÄN</t>
        </is>
      </c>
      <c r="E165" t="inlineStr">
        <is>
          <t>VINGÅKER</t>
        </is>
      </c>
      <c r="G165" t="n">
        <v>4.8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56133-2020</t>
        </is>
      </c>
      <c r="B166" s="1" t="n">
        <v>44133</v>
      </c>
      <c r="C166" s="1" t="n">
        <v>45695</v>
      </c>
      <c r="D166" t="inlineStr">
        <is>
          <t>SÖDERMANLANDS LÄN</t>
        </is>
      </c>
      <c r="E166" t="inlineStr">
        <is>
          <t>VINGÅKER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57591-2020</t>
        </is>
      </c>
      <c r="B167" s="1" t="n">
        <v>44139</v>
      </c>
      <c r="C167" s="1" t="n">
        <v>45695</v>
      </c>
      <c r="D167" t="inlineStr">
        <is>
          <t>SÖDERMANLANDS LÄN</t>
        </is>
      </c>
      <c r="E167" t="inlineStr">
        <is>
          <t>VINGÅKER</t>
        </is>
      </c>
      <c r="G167" t="n">
        <v>3.5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58247-2020</t>
        </is>
      </c>
      <c r="B168" s="1" t="n">
        <v>44144</v>
      </c>
      <c r="C168" s="1" t="n">
        <v>45695</v>
      </c>
      <c r="D168" t="inlineStr">
        <is>
          <t>SÖDERMANLANDS LÄN</t>
        </is>
      </c>
      <c r="E168" t="inlineStr">
        <is>
          <t>VINGÅKER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58436-2020</t>
        </is>
      </c>
      <c r="B169" s="1" t="n">
        <v>44145</v>
      </c>
      <c r="C169" s="1" t="n">
        <v>45695</v>
      </c>
      <c r="D169" t="inlineStr">
        <is>
          <t>SÖDERMANLANDS LÄN</t>
        </is>
      </c>
      <c r="E169" t="inlineStr">
        <is>
          <t>VINGÅKER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59460-2020</t>
        </is>
      </c>
      <c r="B170" s="1" t="n">
        <v>44148</v>
      </c>
      <c r="C170" s="1" t="n">
        <v>45695</v>
      </c>
      <c r="D170" t="inlineStr">
        <is>
          <t>SÖDERMANLANDS LÄN</t>
        </is>
      </c>
      <c r="E170" t="inlineStr">
        <is>
          <t>VINGÅKER</t>
        </is>
      </c>
      <c r="G170" t="n">
        <v>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60562-2020</t>
        </is>
      </c>
      <c r="B171" s="1" t="n">
        <v>44153</v>
      </c>
      <c r="C171" s="1" t="n">
        <v>45695</v>
      </c>
      <c r="D171" t="inlineStr">
        <is>
          <t>SÖDERMANLANDS LÄN</t>
        </is>
      </c>
      <c r="E171" t="inlineStr">
        <is>
          <t>VINGÅKER</t>
        </is>
      </c>
      <c r="G171" t="n">
        <v>3.4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62630-2020</t>
        </is>
      </c>
      <c r="B172" s="1" t="n">
        <v>44160</v>
      </c>
      <c r="C172" s="1" t="n">
        <v>45695</v>
      </c>
      <c r="D172" t="inlineStr">
        <is>
          <t>SÖDERMANLANDS LÄN</t>
        </is>
      </c>
      <c r="E172" t="inlineStr">
        <is>
          <t>VINGÅKER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63079-2020</t>
        </is>
      </c>
      <c r="B173" s="1" t="n">
        <v>44162</v>
      </c>
      <c r="C173" s="1" t="n">
        <v>45695</v>
      </c>
      <c r="D173" t="inlineStr">
        <is>
          <t>SÖDERMANLANDS LÄN</t>
        </is>
      </c>
      <c r="E173" t="inlineStr">
        <is>
          <t>VINGÅKER</t>
        </is>
      </c>
      <c r="G173" t="n">
        <v>6.8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63454-2020</t>
        </is>
      </c>
      <c r="B174" s="1" t="n">
        <v>44165</v>
      </c>
      <c r="C174" s="1" t="n">
        <v>45695</v>
      </c>
      <c r="D174" t="inlineStr">
        <is>
          <t>SÖDERMANLANDS LÄN</t>
        </is>
      </c>
      <c r="E174" t="inlineStr">
        <is>
          <t>VINGÅKER</t>
        </is>
      </c>
      <c r="G174" t="n">
        <v>0.3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68177-2020</t>
        </is>
      </c>
      <c r="B175" s="1" t="n">
        <v>44183</v>
      </c>
      <c r="C175" s="1" t="n">
        <v>45695</v>
      </c>
      <c r="D175" t="inlineStr">
        <is>
          <t>SÖDERMANLANDS LÄN</t>
        </is>
      </c>
      <c r="E175" t="inlineStr">
        <is>
          <t>VINGÅKER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68178-2020</t>
        </is>
      </c>
      <c r="B176" s="1" t="n">
        <v>44183</v>
      </c>
      <c r="C176" s="1" t="n">
        <v>45695</v>
      </c>
      <c r="D176" t="inlineStr">
        <is>
          <t>SÖDERMANLANDS LÄN</t>
        </is>
      </c>
      <c r="E176" t="inlineStr">
        <is>
          <t>VINGÅKER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68727-2020</t>
        </is>
      </c>
      <c r="B177" s="1" t="n">
        <v>44187</v>
      </c>
      <c r="C177" s="1" t="n">
        <v>45695</v>
      </c>
      <c r="D177" t="inlineStr">
        <is>
          <t>SÖDERMANLANDS LÄN</t>
        </is>
      </c>
      <c r="E177" t="inlineStr">
        <is>
          <t>VINGÅKER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68739-2020</t>
        </is>
      </c>
      <c r="B178" s="1" t="n">
        <v>44187</v>
      </c>
      <c r="C178" s="1" t="n">
        <v>45695</v>
      </c>
      <c r="D178" t="inlineStr">
        <is>
          <t>SÖDERMANLANDS LÄN</t>
        </is>
      </c>
      <c r="E178" t="inlineStr">
        <is>
          <t>VINGÅKER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69197-2020</t>
        </is>
      </c>
      <c r="B179" s="1" t="n">
        <v>44191</v>
      </c>
      <c r="C179" s="1" t="n">
        <v>45695</v>
      </c>
      <c r="D179" t="inlineStr">
        <is>
          <t>SÖDERMANLANDS LÄN</t>
        </is>
      </c>
      <c r="E179" t="inlineStr">
        <is>
          <t>VINGÅKER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69439-2020</t>
        </is>
      </c>
      <c r="B180" s="1" t="n">
        <v>44194</v>
      </c>
      <c r="C180" s="1" t="n">
        <v>45695</v>
      </c>
      <c r="D180" t="inlineStr">
        <is>
          <t>SÖDERMANLANDS LÄN</t>
        </is>
      </c>
      <c r="E180" t="inlineStr">
        <is>
          <t>VINGÅKER</t>
        </is>
      </c>
      <c r="G180" t="n">
        <v>12.3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69607-2020</t>
        </is>
      </c>
      <c r="B181" s="1" t="n">
        <v>44195</v>
      </c>
      <c r="C181" s="1" t="n">
        <v>45695</v>
      </c>
      <c r="D181" t="inlineStr">
        <is>
          <t>SÖDERMANLANDS LÄN</t>
        </is>
      </c>
      <c r="E181" t="inlineStr">
        <is>
          <t>VINGÅKER</t>
        </is>
      </c>
      <c r="G181" t="n">
        <v>8.300000000000001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5084-2021</t>
        </is>
      </c>
      <c r="B182" s="1" t="n">
        <v>44228</v>
      </c>
      <c r="C182" s="1" t="n">
        <v>45695</v>
      </c>
      <c r="D182" t="inlineStr">
        <is>
          <t>SÖDERMANLANDS LÄN</t>
        </is>
      </c>
      <c r="E182" t="inlineStr">
        <is>
          <t>VINGÅKER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5060-2021</t>
        </is>
      </c>
      <c r="B183" s="1" t="n">
        <v>44228</v>
      </c>
      <c r="C183" s="1" t="n">
        <v>45695</v>
      </c>
      <c r="D183" t="inlineStr">
        <is>
          <t>SÖDERMANLANDS LÄN</t>
        </is>
      </c>
      <c r="E183" t="inlineStr">
        <is>
          <t>VINGÅKER</t>
        </is>
      </c>
      <c r="G183" t="n">
        <v>3.6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6883-2021</t>
        </is>
      </c>
      <c r="B184" s="1" t="n">
        <v>44237</v>
      </c>
      <c r="C184" s="1" t="n">
        <v>45695</v>
      </c>
      <c r="D184" t="inlineStr">
        <is>
          <t>SÖDERMANLANDS LÄN</t>
        </is>
      </c>
      <c r="E184" t="inlineStr">
        <is>
          <t>VINGÅKER</t>
        </is>
      </c>
      <c r="G184" t="n">
        <v>4.9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7313-2021</t>
        </is>
      </c>
      <c r="B185" s="1" t="n">
        <v>44238</v>
      </c>
      <c r="C185" s="1" t="n">
        <v>45695</v>
      </c>
      <c r="D185" t="inlineStr">
        <is>
          <t>SÖDERMANLANDS LÄN</t>
        </is>
      </c>
      <c r="E185" t="inlineStr">
        <is>
          <t>VINGÅKER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8487-2021</t>
        </is>
      </c>
      <c r="B186" s="1" t="n">
        <v>44244</v>
      </c>
      <c r="C186" s="1" t="n">
        <v>45695</v>
      </c>
      <c r="D186" t="inlineStr">
        <is>
          <t>SÖDERMANLANDS LÄN</t>
        </is>
      </c>
      <c r="E186" t="inlineStr">
        <is>
          <t>VINGÅKER</t>
        </is>
      </c>
      <c r="G186" t="n">
        <v>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8549-2021</t>
        </is>
      </c>
      <c r="B187" s="1" t="n">
        <v>44245</v>
      </c>
      <c r="C187" s="1" t="n">
        <v>45695</v>
      </c>
      <c r="D187" t="inlineStr">
        <is>
          <t>SÖDERMANLANDS LÄN</t>
        </is>
      </c>
      <c r="E187" t="inlineStr">
        <is>
          <t>VINGÅKER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11371-2021</t>
        </is>
      </c>
      <c r="B188" s="1" t="n">
        <v>44263</v>
      </c>
      <c r="C188" s="1" t="n">
        <v>45695</v>
      </c>
      <c r="D188" t="inlineStr">
        <is>
          <t>SÖDERMANLANDS LÄN</t>
        </is>
      </c>
      <c r="E188" t="inlineStr">
        <is>
          <t>VINGÅKER</t>
        </is>
      </c>
      <c r="G188" t="n">
        <v>3.6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11372-2021</t>
        </is>
      </c>
      <c r="B189" s="1" t="n">
        <v>44263</v>
      </c>
      <c r="C189" s="1" t="n">
        <v>45695</v>
      </c>
      <c r="D189" t="inlineStr">
        <is>
          <t>SÖDERMANLANDS LÄN</t>
        </is>
      </c>
      <c r="E189" t="inlineStr">
        <is>
          <t>VINGÅKER</t>
        </is>
      </c>
      <c r="G189" t="n">
        <v>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11380-2021</t>
        </is>
      </c>
      <c r="B190" s="1" t="n">
        <v>44263</v>
      </c>
      <c r="C190" s="1" t="n">
        <v>45695</v>
      </c>
      <c r="D190" t="inlineStr">
        <is>
          <t>SÖDERMANLANDS LÄN</t>
        </is>
      </c>
      <c r="E190" t="inlineStr">
        <is>
          <t>VINGÅKER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11374-2021</t>
        </is>
      </c>
      <c r="B191" s="1" t="n">
        <v>44263</v>
      </c>
      <c r="C191" s="1" t="n">
        <v>45695</v>
      </c>
      <c r="D191" t="inlineStr">
        <is>
          <t>SÖDERMANLANDS LÄN</t>
        </is>
      </c>
      <c r="E191" t="inlineStr">
        <is>
          <t>VINGÅKER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14128-2021</t>
        </is>
      </c>
      <c r="B192" s="1" t="n">
        <v>44277</v>
      </c>
      <c r="C192" s="1" t="n">
        <v>45695</v>
      </c>
      <c r="D192" t="inlineStr">
        <is>
          <t>SÖDERMANLANDS LÄN</t>
        </is>
      </c>
      <c r="E192" t="inlineStr">
        <is>
          <t>VINGÅKER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15067-2021</t>
        </is>
      </c>
      <c r="B193" s="1" t="n">
        <v>44281</v>
      </c>
      <c r="C193" s="1" t="n">
        <v>45695</v>
      </c>
      <c r="D193" t="inlineStr">
        <is>
          <t>SÖDERMANLANDS LÄN</t>
        </is>
      </c>
      <c r="E193" t="inlineStr">
        <is>
          <t>VINGÅKER</t>
        </is>
      </c>
      <c r="G193" t="n">
        <v>2.8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14998-2021</t>
        </is>
      </c>
      <c r="B194" s="1" t="n">
        <v>44281</v>
      </c>
      <c r="C194" s="1" t="n">
        <v>45695</v>
      </c>
      <c r="D194" t="inlineStr">
        <is>
          <t>SÖDERMANLANDS LÄN</t>
        </is>
      </c>
      <c r="E194" t="inlineStr">
        <is>
          <t>VINGÅKER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15223-2021</t>
        </is>
      </c>
      <c r="B195" s="1" t="n">
        <v>44281</v>
      </c>
      <c r="C195" s="1" t="n">
        <v>45695</v>
      </c>
      <c r="D195" t="inlineStr">
        <is>
          <t>SÖDERMANLANDS LÄN</t>
        </is>
      </c>
      <c r="E195" t="inlineStr">
        <is>
          <t>VINGÅKER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17047-2021</t>
        </is>
      </c>
      <c r="B196" s="1" t="n">
        <v>44295</v>
      </c>
      <c r="C196" s="1" t="n">
        <v>45695</v>
      </c>
      <c r="D196" t="inlineStr">
        <is>
          <t>SÖDERMANLANDS LÄN</t>
        </is>
      </c>
      <c r="E196" t="inlineStr">
        <is>
          <t>VINGÅKER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18744-2021</t>
        </is>
      </c>
      <c r="B197" s="1" t="n">
        <v>44307</v>
      </c>
      <c r="C197" s="1" t="n">
        <v>45695</v>
      </c>
      <c r="D197" t="inlineStr">
        <is>
          <t>SÖDERMANLANDS LÄN</t>
        </is>
      </c>
      <c r="E197" t="inlineStr">
        <is>
          <t>VINGÅKER</t>
        </is>
      </c>
      <c r="G197" t="n">
        <v>17.6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18721-2021</t>
        </is>
      </c>
      <c r="B198" s="1" t="n">
        <v>44307</v>
      </c>
      <c r="C198" s="1" t="n">
        <v>45695</v>
      </c>
      <c r="D198" t="inlineStr">
        <is>
          <t>SÖDERMANLANDS LÄN</t>
        </is>
      </c>
      <c r="E198" t="inlineStr">
        <is>
          <t>VINGÅKER</t>
        </is>
      </c>
      <c r="G198" t="n">
        <v>12.4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22095-2021</t>
        </is>
      </c>
      <c r="B199" s="1" t="n">
        <v>44320</v>
      </c>
      <c r="C199" s="1" t="n">
        <v>45695</v>
      </c>
      <c r="D199" t="inlineStr">
        <is>
          <t>SÖDERMANLANDS LÄN</t>
        </is>
      </c>
      <c r="E199" t="inlineStr">
        <is>
          <t>VINGÅKER</t>
        </is>
      </c>
      <c r="G199" t="n">
        <v>7.7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22052-2021</t>
        </is>
      </c>
      <c r="B200" s="1" t="n">
        <v>44323</v>
      </c>
      <c r="C200" s="1" t="n">
        <v>45695</v>
      </c>
      <c r="D200" t="inlineStr">
        <is>
          <t>SÖDERMANLANDS LÄN</t>
        </is>
      </c>
      <c r="E200" t="inlineStr">
        <is>
          <t>VINGÅKER</t>
        </is>
      </c>
      <c r="F200" t="inlineStr">
        <is>
          <t>Kommuner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29166-2021</t>
        </is>
      </c>
      <c r="B201" s="1" t="n">
        <v>44358</v>
      </c>
      <c r="C201" s="1" t="n">
        <v>45695</v>
      </c>
      <c r="D201" t="inlineStr">
        <is>
          <t>SÖDERMANLANDS LÄN</t>
        </is>
      </c>
      <c r="E201" t="inlineStr">
        <is>
          <t>VINGÅKER</t>
        </is>
      </c>
      <c r="G201" t="n">
        <v>3.7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29170-2021</t>
        </is>
      </c>
      <c r="B202" s="1" t="n">
        <v>44358</v>
      </c>
      <c r="C202" s="1" t="n">
        <v>45695</v>
      </c>
      <c r="D202" t="inlineStr">
        <is>
          <t>SÖDERMANLANDS LÄN</t>
        </is>
      </c>
      <c r="E202" t="inlineStr">
        <is>
          <t>VINGÅKER</t>
        </is>
      </c>
      <c r="G202" t="n">
        <v>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29152-2021</t>
        </is>
      </c>
      <c r="B203" s="1" t="n">
        <v>44358</v>
      </c>
      <c r="C203" s="1" t="n">
        <v>45695</v>
      </c>
      <c r="D203" t="inlineStr">
        <is>
          <t>SÖDERMANLANDS LÄN</t>
        </is>
      </c>
      <c r="E203" t="inlineStr">
        <is>
          <t>VINGÅKER</t>
        </is>
      </c>
      <c r="G203" t="n">
        <v>6.6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29172-2021</t>
        </is>
      </c>
      <c r="B204" s="1" t="n">
        <v>44358</v>
      </c>
      <c r="C204" s="1" t="n">
        <v>45695</v>
      </c>
      <c r="D204" t="inlineStr">
        <is>
          <t>SÖDERMANLANDS LÄN</t>
        </is>
      </c>
      <c r="E204" t="inlineStr">
        <is>
          <t>VINGÅKER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31297-2021</t>
        </is>
      </c>
      <c r="B205" s="1" t="n">
        <v>44368</v>
      </c>
      <c r="C205" s="1" t="n">
        <v>45695</v>
      </c>
      <c r="D205" t="inlineStr">
        <is>
          <t>SÖDERMANLANDS LÄN</t>
        </is>
      </c>
      <c r="E205" t="inlineStr">
        <is>
          <t>VINGÅKER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31298-2021</t>
        </is>
      </c>
      <c r="B206" s="1" t="n">
        <v>44368</v>
      </c>
      <c r="C206" s="1" t="n">
        <v>45695</v>
      </c>
      <c r="D206" t="inlineStr">
        <is>
          <t>SÖDERMANLANDS LÄN</t>
        </is>
      </c>
      <c r="E206" t="inlineStr">
        <is>
          <t>VINGÅKER</t>
        </is>
      </c>
      <c r="G206" t="n">
        <v>4.1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31312-2021</t>
        </is>
      </c>
      <c r="B207" s="1" t="n">
        <v>44368</v>
      </c>
      <c r="C207" s="1" t="n">
        <v>45695</v>
      </c>
      <c r="D207" t="inlineStr">
        <is>
          <t>SÖDERMANLANDS LÄN</t>
        </is>
      </c>
      <c r="E207" t="inlineStr">
        <is>
          <t>VINGÅKER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35893-2021</t>
        </is>
      </c>
      <c r="B208" s="1" t="n">
        <v>44387</v>
      </c>
      <c r="C208" s="1" t="n">
        <v>45695</v>
      </c>
      <c r="D208" t="inlineStr">
        <is>
          <t>SÖDERMANLANDS LÄN</t>
        </is>
      </c>
      <c r="E208" t="inlineStr">
        <is>
          <t>VINGÅKER</t>
        </is>
      </c>
      <c r="G208" t="n">
        <v>3.2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36009-2021</t>
        </is>
      </c>
      <c r="B209" s="1" t="n">
        <v>44389</v>
      </c>
      <c r="C209" s="1" t="n">
        <v>45695</v>
      </c>
      <c r="D209" t="inlineStr">
        <is>
          <t>SÖDERMANLANDS LÄN</t>
        </is>
      </c>
      <c r="E209" t="inlineStr">
        <is>
          <t>VINGÅKER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36016-2021</t>
        </is>
      </c>
      <c r="B210" s="1" t="n">
        <v>44389</v>
      </c>
      <c r="C210" s="1" t="n">
        <v>45695</v>
      </c>
      <c r="D210" t="inlineStr">
        <is>
          <t>SÖDERMANLANDS LÄN</t>
        </is>
      </c>
      <c r="E210" t="inlineStr">
        <is>
          <t>VINGÅKER</t>
        </is>
      </c>
      <c r="G210" t="n">
        <v>4.5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36012-2021</t>
        </is>
      </c>
      <c r="B211" s="1" t="n">
        <v>44389</v>
      </c>
      <c r="C211" s="1" t="n">
        <v>45695</v>
      </c>
      <c r="D211" t="inlineStr">
        <is>
          <t>SÖDERMANLANDS LÄN</t>
        </is>
      </c>
      <c r="E211" t="inlineStr">
        <is>
          <t>VINGÅKER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36192-2021</t>
        </is>
      </c>
      <c r="B212" s="1" t="n">
        <v>44389</v>
      </c>
      <c r="C212" s="1" t="n">
        <v>45695</v>
      </c>
      <c r="D212" t="inlineStr">
        <is>
          <t>SÖDERMANLANDS LÄN</t>
        </is>
      </c>
      <c r="E212" t="inlineStr">
        <is>
          <t>VINGÅKER</t>
        </is>
      </c>
      <c r="G212" t="n">
        <v>6.4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36013-2021</t>
        </is>
      </c>
      <c r="B213" s="1" t="n">
        <v>44389</v>
      </c>
      <c r="C213" s="1" t="n">
        <v>45695</v>
      </c>
      <c r="D213" t="inlineStr">
        <is>
          <t>SÖDERMANLANDS LÄN</t>
        </is>
      </c>
      <c r="E213" t="inlineStr">
        <is>
          <t>VINGÅKER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36439-2021</t>
        </is>
      </c>
      <c r="B214" s="1" t="n">
        <v>44391</v>
      </c>
      <c r="C214" s="1" t="n">
        <v>45695</v>
      </c>
      <c r="D214" t="inlineStr">
        <is>
          <t>SÖDERMANLANDS LÄN</t>
        </is>
      </c>
      <c r="E214" t="inlineStr">
        <is>
          <t>VINGÅKER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38136-2021</t>
        </is>
      </c>
      <c r="B215" s="1" t="n">
        <v>44404</v>
      </c>
      <c r="C215" s="1" t="n">
        <v>45695</v>
      </c>
      <c r="D215" t="inlineStr">
        <is>
          <t>SÖDERMANLANDS LÄN</t>
        </is>
      </c>
      <c r="E215" t="inlineStr">
        <is>
          <t>VINGÅKER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38530-2021</t>
        </is>
      </c>
      <c r="B216" s="1" t="n">
        <v>44407</v>
      </c>
      <c r="C216" s="1" t="n">
        <v>45695</v>
      </c>
      <c r="D216" t="inlineStr">
        <is>
          <t>SÖDERMANLANDS LÄN</t>
        </is>
      </c>
      <c r="E216" t="inlineStr">
        <is>
          <t>VINGÅKER</t>
        </is>
      </c>
      <c r="G216" t="n">
        <v>8.699999999999999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38534-2021</t>
        </is>
      </c>
      <c r="B217" s="1" t="n">
        <v>44407</v>
      </c>
      <c r="C217" s="1" t="n">
        <v>45695</v>
      </c>
      <c r="D217" t="inlineStr">
        <is>
          <t>SÖDERMANLANDS LÄN</t>
        </is>
      </c>
      <c r="E217" t="inlineStr">
        <is>
          <t>VINGÅKER</t>
        </is>
      </c>
      <c r="G217" t="n">
        <v>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39355-2021</t>
        </is>
      </c>
      <c r="B218" s="1" t="n">
        <v>44412</v>
      </c>
      <c r="C218" s="1" t="n">
        <v>45695</v>
      </c>
      <c r="D218" t="inlineStr">
        <is>
          <t>SÖDERMANLANDS LÄN</t>
        </is>
      </c>
      <c r="E218" t="inlineStr">
        <is>
          <t>VINGÅKER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39343-2021</t>
        </is>
      </c>
      <c r="B219" s="1" t="n">
        <v>44412</v>
      </c>
      <c r="C219" s="1" t="n">
        <v>45695</v>
      </c>
      <c r="D219" t="inlineStr">
        <is>
          <t>SÖDERMANLANDS LÄN</t>
        </is>
      </c>
      <c r="E219" t="inlineStr">
        <is>
          <t>VINGÅKER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39978-2021</t>
        </is>
      </c>
      <c r="B220" s="1" t="n">
        <v>44418</v>
      </c>
      <c r="C220" s="1" t="n">
        <v>45695</v>
      </c>
      <c r="D220" t="inlineStr">
        <is>
          <t>SÖDERMANLANDS LÄN</t>
        </is>
      </c>
      <c r="E220" t="inlineStr">
        <is>
          <t>VINGÅKER</t>
        </is>
      </c>
      <c r="F220" t="inlineStr">
        <is>
          <t>Övriga Aktiebolag</t>
        </is>
      </c>
      <c r="G220" t="n">
        <v>8.4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40182-2021</t>
        </is>
      </c>
      <c r="B221" s="1" t="n">
        <v>44418</v>
      </c>
      <c r="C221" s="1" t="n">
        <v>45695</v>
      </c>
      <c r="D221" t="inlineStr">
        <is>
          <t>SÖDERMANLANDS LÄN</t>
        </is>
      </c>
      <c r="E221" t="inlineStr">
        <is>
          <t>VINGÅKER</t>
        </is>
      </c>
      <c r="F221" t="inlineStr">
        <is>
          <t>Övriga Aktiebolag</t>
        </is>
      </c>
      <c r="G221" t="n">
        <v>12.5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40831-2021</t>
        </is>
      </c>
      <c r="B222" s="1" t="n">
        <v>44421</v>
      </c>
      <c r="C222" s="1" t="n">
        <v>45695</v>
      </c>
      <c r="D222" t="inlineStr">
        <is>
          <t>SÖDERMANLANDS LÄN</t>
        </is>
      </c>
      <c r="E222" t="inlineStr">
        <is>
          <t>VINGÅKER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41939-2021</t>
        </is>
      </c>
      <c r="B223" s="1" t="n">
        <v>44425</v>
      </c>
      <c r="C223" s="1" t="n">
        <v>45695</v>
      </c>
      <c r="D223" t="inlineStr">
        <is>
          <t>SÖDERMANLANDS LÄN</t>
        </is>
      </c>
      <c r="E223" t="inlineStr">
        <is>
          <t>VINGÅKER</t>
        </is>
      </c>
      <c r="G223" t="n">
        <v>4.6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41920-2021</t>
        </is>
      </c>
      <c r="B224" s="1" t="n">
        <v>44425</v>
      </c>
      <c r="C224" s="1" t="n">
        <v>45695</v>
      </c>
      <c r="D224" t="inlineStr">
        <is>
          <t>SÖDERMANLANDS LÄN</t>
        </is>
      </c>
      <c r="E224" t="inlineStr">
        <is>
          <t>VINGÅKER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43868-2021</t>
        </is>
      </c>
      <c r="B225" s="1" t="n">
        <v>44434</v>
      </c>
      <c r="C225" s="1" t="n">
        <v>45695</v>
      </c>
      <c r="D225" t="inlineStr">
        <is>
          <t>SÖDERMANLANDS LÄN</t>
        </is>
      </c>
      <c r="E225" t="inlineStr">
        <is>
          <t>VINGÅKER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45789-2021</t>
        </is>
      </c>
      <c r="B226" s="1" t="n">
        <v>44441</v>
      </c>
      <c r="C226" s="1" t="n">
        <v>45695</v>
      </c>
      <c r="D226" t="inlineStr">
        <is>
          <t>SÖDERMANLANDS LÄN</t>
        </is>
      </c>
      <c r="E226" t="inlineStr">
        <is>
          <t>VINGÅKER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47172-2021</t>
        </is>
      </c>
      <c r="B227" s="1" t="n">
        <v>44446</v>
      </c>
      <c r="C227" s="1" t="n">
        <v>45695</v>
      </c>
      <c r="D227" t="inlineStr">
        <is>
          <t>SÖDERMANLANDS LÄN</t>
        </is>
      </c>
      <c r="E227" t="inlineStr">
        <is>
          <t>VINGÅKER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48550-2021</t>
        </is>
      </c>
      <c r="B228" s="1" t="n">
        <v>44452</v>
      </c>
      <c r="C228" s="1" t="n">
        <v>45695</v>
      </c>
      <c r="D228" t="inlineStr">
        <is>
          <t>SÖDERMANLANDS LÄN</t>
        </is>
      </c>
      <c r="E228" t="inlineStr">
        <is>
          <t>VINGÅKER</t>
        </is>
      </c>
      <c r="G228" t="n">
        <v>3.8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49267-2021</t>
        </is>
      </c>
      <c r="B229" s="1" t="n">
        <v>44454</v>
      </c>
      <c r="C229" s="1" t="n">
        <v>45695</v>
      </c>
      <c r="D229" t="inlineStr">
        <is>
          <t>SÖDERMANLANDS LÄN</t>
        </is>
      </c>
      <c r="E229" t="inlineStr">
        <is>
          <t>VINGÅKER</t>
        </is>
      </c>
      <c r="G229" t="n">
        <v>5.3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51865-2021</t>
        </is>
      </c>
      <c r="B230" s="1" t="n">
        <v>44462</v>
      </c>
      <c r="C230" s="1" t="n">
        <v>45695</v>
      </c>
      <c r="D230" t="inlineStr">
        <is>
          <t>SÖDERMANLANDS LÄN</t>
        </is>
      </c>
      <c r="E230" t="inlineStr">
        <is>
          <t>VINGÅKER</t>
        </is>
      </c>
      <c r="G230" t="n">
        <v>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53863-2021</t>
        </is>
      </c>
      <c r="B231" s="1" t="n">
        <v>44468</v>
      </c>
      <c r="C231" s="1" t="n">
        <v>45695</v>
      </c>
      <c r="D231" t="inlineStr">
        <is>
          <t>SÖDERMANLANDS LÄN</t>
        </is>
      </c>
      <c r="E231" t="inlineStr">
        <is>
          <t>VINGÅKER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54112-2021</t>
        </is>
      </c>
      <c r="B232" s="1" t="n">
        <v>44470</v>
      </c>
      <c r="C232" s="1" t="n">
        <v>45695</v>
      </c>
      <c r="D232" t="inlineStr">
        <is>
          <t>SÖDERMANLANDS LÄN</t>
        </is>
      </c>
      <c r="E232" t="inlineStr">
        <is>
          <t>VINGÅKER</t>
        </is>
      </c>
      <c r="G232" t="n">
        <v>4.7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54978-2021</t>
        </is>
      </c>
      <c r="B233" s="1" t="n">
        <v>44474</v>
      </c>
      <c r="C233" s="1" t="n">
        <v>45695</v>
      </c>
      <c r="D233" t="inlineStr">
        <is>
          <t>SÖDERMANLANDS LÄN</t>
        </is>
      </c>
      <c r="E233" t="inlineStr">
        <is>
          <t>VINGÅKER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54980-2021</t>
        </is>
      </c>
      <c r="B234" s="1" t="n">
        <v>44474</v>
      </c>
      <c r="C234" s="1" t="n">
        <v>45695</v>
      </c>
      <c r="D234" t="inlineStr">
        <is>
          <t>SÖDERMANLANDS LÄN</t>
        </is>
      </c>
      <c r="E234" t="inlineStr">
        <is>
          <t>VINGÅKER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55421-2021</t>
        </is>
      </c>
      <c r="B235" s="1" t="n">
        <v>44475</v>
      </c>
      <c r="C235" s="1" t="n">
        <v>45695</v>
      </c>
      <c r="D235" t="inlineStr">
        <is>
          <t>SÖDERMANLANDS LÄN</t>
        </is>
      </c>
      <c r="E235" t="inlineStr">
        <is>
          <t>VINGÅKER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55434-2021</t>
        </is>
      </c>
      <c r="B236" s="1" t="n">
        <v>44475</v>
      </c>
      <c r="C236" s="1" t="n">
        <v>45695</v>
      </c>
      <c r="D236" t="inlineStr">
        <is>
          <t>SÖDERMANLANDS LÄN</t>
        </is>
      </c>
      <c r="E236" t="inlineStr">
        <is>
          <t>VINGÅKER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55450-2021</t>
        </is>
      </c>
      <c r="B237" s="1" t="n">
        <v>44475</v>
      </c>
      <c r="C237" s="1" t="n">
        <v>45695</v>
      </c>
      <c r="D237" t="inlineStr">
        <is>
          <t>SÖDERMANLANDS LÄN</t>
        </is>
      </c>
      <c r="E237" t="inlineStr">
        <is>
          <t>VINGÅKER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55730-2021</t>
        </is>
      </c>
      <c r="B238" s="1" t="n">
        <v>44476</v>
      </c>
      <c r="C238" s="1" t="n">
        <v>45695</v>
      </c>
      <c r="D238" t="inlineStr">
        <is>
          <t>SÖDERMANLANDS LÄN</t>
        </is>
      </c>
      <c r="E238" t="inlineStr">
        <is>
          <t>VINGÅKER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56625-2021</t>
        </is>
      </c>
      <c r="B239" s="1" t="n">
        <v>44480</v>
      </c>
      <c r="C239" s="1" t="n">
        <v>45695</v>
      </c>
      <c r="D239" t="inlineStr">
        <is>
          <t>SÖDERMANLANDS LÄN</t>
        </is>
      </c>
      <c r="E239" t="inlineStr">
        <is>
          <t>VINGÅKER</t>
        </is>
      </c>
      <c r="G239" t="n">
        <v>3.5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56692-2021</t>
        </is>
      </c>
      <c r="B240" s="1" t="n">
        <v>44480</v>
      </c>
      <c r="C240" s="1" t="n">
        <v>45695</v>
      </c>
      <c r="D240" t="inlineStr">
        <is>
          <t>SÖDERMANLANDS LÄN</t>
        </is>
      </c>
      <c r="E240" t="inlineStr">
        <is>
          <t>VINGÅKER</t>
        </is>
      </c>
      <c r="G240" t="n">
        <v>7.5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56633-2021</t>
        </is>
      </c>
      <c r="B241" s="1" t="n">
        <v>44480</v>
      </c>
      <c r="C241" s="1" t="n">
        <v>45695</v>
      </c>
      <c r="D241" t="inlineStr">
        <is>
          <t>SÖDERMANLANDS LÄN</t>
        </is>
      </c>
      <c r="E241" t="inlineStr">
        <is>
          <t>VINGÅKER</t>
        </is>
      </c>
      <c r="G241" t="n">
        <v>11.2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57032-2021</t>
        </is>
      </c>
      <c r="B242" s="1" t="n">
        <v>44482</v>
      </c>
      <c r="C242" s="1" t="n">
        <v>45695</v>
      </c>
      <c r="D242" t="inlineStr">
        <is>
          <t>SÖDERMANLANDS LÄN</t>
        </is>
      </c>
      <c r="E242" t="inlineStr">
        <is>
          <t>VINGÅKER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58031-2021</t>
        </is>
      </c>
      <c r="B243" s="1" t="n">
        <v>44487</v>
      </c>
      <c r="C243" s="1" t="n">
        <v>45695</v>
      </c>
      <c r="D243" t="inlineStr">
        <is>
          <t>SÖDERMANLANDS LÄN</t>
        </is>
      </c>
      <c r="E243" t="inlineStr">
        <is>
          <t>VINGÅKER</t>
        </is>
      </c>
      <c r="G243" t="n">
        <v>2.8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60572-2021</t>
        </is>
      </c>
      <c r="B244" s="1" t="n">
        <v>44496</v>
      </c>
      <c r="C244" s="1" t="n">
        <v>45695</v>
      </c>
      <c r="D244" t="inlineStr">
        <is>
          <t>SÖDERMANLANDS LÄN</t>
        </is>
      </c>
      <c r="E244" t="inlineStr">
        <is>
          <t>VINGÅKER</t>
        </is>
      </c>
      <c r="G244" t="n">
        <v>0.4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60578-2021</t>
        </is>
      </c>
      <c r="B245" s="1" t="n">
        <v>44496</v>
      </c>
      <c r="C245" s="1" t="n">
        <v>45695</v>
      </c>
      <c r="D245" t="inlineStr">
        <is>
          <t>SÖDERMANLANDS LÄN</t>
        </is>
      </c>
      <c r="E245" t="inlineStr">
        <is>
          <t>VINGÅKER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64397-2021</t>
        </is>
      </c>
      <c r="B246" s="1" t="n">
        <v>44511</v>
      </c>
      <c r="C246" s="1" t="n">
        <v>45695</v>
      </c>
      <c r="D246" t="inlineStr">
        <is>
          <t>SÖDERMANLANDS LÄN</t>
        </is>
      </c>
      <c r="E246" t="inlineStr">
        <is>
          <t>VINGÅKER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64406-2021</t>
        </is>
      </c>
      <c r="B247" s="1" t="n">
        <v>44511</v>
      </c>
      <c r="C247" s="1" t="n">
        <v>45695</v>
      </c>
      <c r="D247" t="inlineStr">
        <is>
          <t>SÖDERMANLANDS LÄN</t>
        </is>
      </c>
      <c r="E247" t="inlineStr">
        <is>
          <t>VINGÅKER</t>
        </is>
      </c>
      <c r="G247" t="n">
        <v>3.5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65753-2021</t>
        </is>
      </c>
      <c r="B248" s="1" t="n">
        <v>44516</v>
      </c>
      <c r="C248" s="1" t="n">
        <v>45695</v>
      </c>
      <c r="D248" t="inlineStr">
        <is>
          <t>SÖDERMANLANDS LÄN</t>
        </is>
      </c>
      <c r="E248" t="inlineStr">
        <is>
          <t>VINGÅKER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66700-2021</t>
        </is>
      </c>
      <c r="B249" s="1" t="n">
        <v>44519</v>
      </c>
      <c r="C249" s="1" t="n">
        <v>45695</v>
      </c>
      <c r="D249" t="inlineStr">
        <is>
          <t>SÖDERMANLANDS LÄN</t>
        </is>
      </c>
      <c r="E249" t="inlineStr">
        <is>
          <t>VINGÅKER</t>
        </is>
      </c>
      <c r="G249" t="n">
        <v>0.4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67835-2021</t>
        </is>
      </c>
      <c r="B250" s="1" t="n">
        <v>44525</v>
      </c>
      <c r="C250" s="1" t="n">
        <v>45695</v>
      </c>
      <c r="D250" t="inlineStr">
        <is>
          <t>SÖDERMANLANDS LÄN</t>
        </is>
      </c>
      <c r="E250" t="inlineStr">
        <is>
          <t>VINGÅKER</t>
        </is>
      </c>
      <c r="G250" t="n">
        <v>3.1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69581-2021</t>
        </is>
      </c>
      <c r="B251" s="1" t="n">
        <v>44531</v>
      </c>
      <c r="C251" s="1" t="n">
        <v>45695</v>
      </c>
      <c r="D251" t="inlineStr">
        <is>
          <t>SÖDERMANLANDS LÄN</t>
        </is>
      </c>
      <c r="E251" t="inlineStr">
        <is>
          <t>VINGÅKER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326-2022</t>
        </is>
      </c>
      <c r="B252" s="1" t="n">
        <v>44565</v>
      </c>
      <c r="C252" s="1" t="n">
        <v>45695</v>
      </c>
      <c r="D252" t="inlineStr">
        <is>
          <t>SÖDERMANLANDS LÄN</t>
        </is>
      </c>
      <c r="E252" t="inlineStr">
        <is>
          <t>VINGÅKER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356-2022</t>
        </is>
      </c>
      <c r="B253" s="1" t="n">
        <v>44565</v>
      </c>
      <c r="C253" s="1" t="n">
        <v>45695</v>
      </c>
      <c r="D253" t="inlineStr">
        <is>
          <t>SÖDERMANLANDS LÄN</t>
        </is>
      </c>
      <c r="E253" t="inlineStr">
        <is>
          <t>VINGÅKER</t>
        </is>
      </c>
      <c r="G253" t="n">
        <v>13.4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895-2022</t>
        </is>
      </c>
      <c r="B254" s="1" t="n">
        <v>44571</v>
      </c>
      <c r="C254" s="1" t="n">
        <v>45695</v>
      </c>
      <c r="D254" t="inlineStr">
        <is>
          <t>SÖDERMANLANDS LÄN</t>
        </is>
      </c>
      <c r="E254" t="inlineStr">
        <is>
          <t>VINGÅKER</t>
        </is>
      </c>
      <c r="G254" t="n">
        <v>2.9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1668-2022</t>
        </is>
      </c>
      <c r="B255" s="1" t="n">
        <v>44573</v>
      </c>
      <c r="C255" s="1" t="n">
        <v>45695</v>
      </c>
      <c r="D255" t="inlineStr">
        <is>
          <t>SÖDERMANLANDS LÄN</t>
        </is>
      </c>
      <c r="E255" t="inlineStr">
        <is>
          <t>VINGÅKER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1670-2022</t>
        </is>
      </c>
      <c r="B256" s="1" t="n">
        <v>44573</v>
      </c>
      <c r="C256" s="1" t="n">
        <v>45695</v>
      </c>
      <c r="D256" t="inlineStr">
        <is>
          <t>SÖDERMANLANDS LÄN</t>
        </is>
      </c>
      <c r="E256" t="inlineStr">
        <is>
          <t>VINGÅKER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3068-2022</t>
        </is>
      </c>
      <c r="B257" s="1" t="n">
        <v>44582</v>
      </c>
      <c r="C257" s="1" t="n">
        <v>45695</v>
      </c>
      <c r="D257" t="inlineStr">
        <is>
          <t>SÖDERMANLANDS LÄN</t>
        </is>
      </c>
      <c r="E257" t="inlineStr">
        <is>
          <t>VINGÅKER</t>
        </is>
      </c>
      <c r="F257" t="inlineStr">
        <is>
          <t>Kommuner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4959-2022</t>
        </is>
      </c>
      <c r="B258" s="1" t="n">
        <v>44593</v>
      </c>
      <c r="C258" s="1" t="n">
        <v>45695</v>
      </c>
      <c r="D258" t="inlineStr">
        <is>
          <t>SÖDERMANLANDS LÄN</t>
        </is>
      </c>
      <c r="E258" t="inlineStr">
        <is>
          <t>VINGÅKER</t>
        </is>
      </c>
      <c r="G258" t="n">
        <v>3.7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5348-2022</t>
        </is>
      </c>
      <c r="B259" s="1" t="n">
        <v>44594</v>
      </c>
      <c r="C259" s="1" t="n">
        <v>45695</v>
      </c>
      <c r="D259" t="inlineStr">
        <is>
          <t>SÖDERMANLANDS LÄN</t>
        </is>
      </c>
      <c r="E259" t="inlineStr">
        <is>
          <t>VINGÅKER</t>
        </is>
      </c>
      <c r="G259" t="n">
        <v>3.5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5349-2022</t>
        </is>
      </c>
      <c r="B260" s="1" t="n">
        <v>44594</v>
      </c>
      <c r="C260" s="1" t="n">
        <v>45695</v>
      </c>
      <c r="D260" t="inlineStr">
        <is>
          <t>SÖDERMANLANDS LÄN</t>
        </is>
      </c>
      <c r="E260" t="inlineStr">
        <is>
          <t>VINGÅKER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5837-2022</t>
        </is>
      </c>
      <c r="B261" s="1" t="n">
        <v>44596</v>
      </c>
      <c r="C261" s="1" t="n">
        <v>45695</v>
      </c>
      <c r="D261" t="inlineStr">
        <is>
          <t>SÖDERMANLANDS LÄN</t>
        </is>
      </c>
      <c r="E261" t="inlineStr">
        <is>
          <t>VINGÅKER</t>
        </is>
      </c>
      <c r="F261" t="inlineStr">
        <is>
          <t>Övriga Aktiebolag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7756-2022</t>
        </is>
      </c>
      <c r="B262" s="1" t="n">
        <v>44608</v>
      </c>
      <c r="C262" s="1" t="n">
        <v>45695</v>
      </c>
      <c r="D262" t="inlineStr">
        <is>
          <t>SÖDERMANLANDS LÄN</t>
        </is>
      </c>
      <c r="E262" t="inlineStr">
        <is>
          <t>VINGÅKER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7821-2022</t>
        </is>
      </c>
      <c r="B263" s="1" t="n">
        <v>44608</v>
      </c>
      <c r="C263" s="1" t="n">
        <v>45695</v>
      </c>
      <c r="D263" t="inlineStr">
        <is>
          <t>SÖDERMANLANDS LÄN</t>
        </is>
      </c>
      <c r="E263" t="inlineStr">
        <is>
          <t>VINGÅKER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7825-2022</t>
        </is>
      </c>
      <c r="B264" s="1" t="n">
        <v>44608</v>
      </c>
      <c r="C264" s="1" t="n">
        <v>45695</v>
      </c>
      <c r="D264" t="inlineStr">
        <is>
          <t>SÖDERMANLANDS LÄN</t>
        </is>
      </c>
      <c r="E264" t="inlineStr">
        <is>
          <t>VINGÅKER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7739-2022</t>
        </is>
      </c>
      <c r="B265" s="1" t="n">
        <v>44608</v>
      </c>
      <c r="C265" s="1" t="n">
        <v>45695</v>
      </c>
      <c r="D265" t="inlineStr">
        <is>
          <t>SÖDERMANLANDS LÄN</t>
        </is>
      </c>
      <c r="E265" t="inlineStr">
        <is>
          <t>VINGÅKER</t>
        </is>
      </c>
      <c r="G265" t="n">
        <v>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7742-2022</t>
        </is>
      </c>
      <c r="B266" s="1" t="n">
        <v>44608</v>
      </c>
      <c r="C266" s="1" t="n">
        <v>45695</v>
      </c>
      <c r="D266" t="inlineStr">
        <is>
          <t>SÖDERMANLANDS LÄN</t>
        </is>
      </c>
      <c r="E266" t="inlineStr">
        <is>
          <t>VINGÅKER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9648-2022</t>
        </is>
      </c>
      <c r="B267" s="1" t="n">
        <v>44617</v>
      </c>
      <c r="C267" s="1" t="n">
        <v>45695</v>
      </c>
      <c r="D267" t="inlineStr">
        <is>
          <t>SÖDERMANLANDS LÄN</t>
        </is>
      </c>
      <c r="E267" t="inlineStr">
        <is>
          <t>VINGÅKER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9543-2022</t>
        </is>
      </c>
      <c r="B268" s="1" t="n">
        <v>44617</v>
      </c>
      <c r="C268" s="1" t="n">
        <v>45695</v>
      </c>
      <c r="D268" t="inlineStr">
        <is>
          <t>SÖDERMANLANDS LÄN</t>
        </is>
      </c>
      <c r="E268" t="inlineStr">
        <is>
          <t>VINGÅKER</t>
        </is>
      </c>
      <c r="F268" t="inlineStr">
        <is>
          <t>Kyrkan</t>
        </is>
      </c>
      <c r="G268" t="n">
        <v>4.7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10438-2022</t>
        </is>
      </c>
      <c r="B269" s="1" t="n">
        <v>44623</v>
      </c>
      <c r="C269" s="1" t="n">
        <v>45695</v>
      </c>
      <c r="D269" t="inlineStr">
        <is>
          <t>SÖDERMANLANDS LÄN</t>
        </is>
      </c>
      <c r="E269" t="inlineStr">
        <is>
          <t>VINGÅKER</t>
        </is>
      </c>
      <c r="G269" t="n">
        <v>5.3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10440-2022</t>
        </is>
      </c>
      <c r="B270" s="1" t="n">
        <v>44623</v>
      </c>
      <c r="C270" s="1" t="n">
        <v>45695</v>
      </c>
      <c r="D270" t="inlineStr">
        <is>
          <t>SÖDERMANLANDS LÄN</t>
        </is>
      </c>
      <c r="E270" t="inlineStr">
        <is>
          <t>VINGÅKER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11326-2022</t>
        </is>
      </c>
      <c r="B271" s="1" t="n">
        <v>44629</v>
      </c>
      <c r="C271" s="1" t="n">
        <v>45695</v>
      </c>
      <c r="D271" t="inlineStr">
        <is>
          <t>SÖDERMANLANDS LÄN</t>
        </is>
      </c>
      <c r="E271" t="inlineStr">
        <is>
          <t>VINGÅKER</t>
        </is>
      </c>
      <c r="G271" t="n">
        <v>10.4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12856-2022</t>
        </is>
      </c>
      <c r="B272" s="1" t="n">
        <v>44642</v>
      </c>
      <c r="C272" s="1" t="n">
        <v>45695</v>
      </c>
      <c r="D272" t="inlineStr">
        <is>
          <t>SÖDERMANLANDS LÄN</t>
        </is>
      </c>
      <c r="E272" t="inlineStr">
        <is>
          <t>VINGÅKER</t>
        </is>
      </c>
      <c r="G272" t="n">
        <v>4.8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12861-2022</t>
        </is>
      </c>
      <c r="B273" s="1" t="n">
        <v>44642</v>
      </c>
      <c r="C273" s="1" t="n">
        <v>45695</v>
      </c>
      <c r="D273" t="inlineStr">
        <is>
          <t>SÖDERMANLANDS LÄN</t>
        </is>
      </c>
      <c r="E273" t="inlineStr">
        <is>
          <t>VINGÅKER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12860-2022</t>
        </is>
      </c>
      <c r="B274" s="1" t="n">
        <v>44642</v>
      </c>
      <c r="C274" s="1" t="n">
        <v>45695</v>
      </c>
      <c r="D274" t="inlineStr">
        <is>
          <t>SÖDERMANLANDS LÄN</t>
        </is>
      </c>
      <c r="E274" t="inlineStr">
        <is>
          <t>VINGÅKER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14154-2022</t>
        </is>
      </c>
      <c r="B275" s="1" t="n">
        <v>44651</v>
      </c>
      <c r="C275" s="1" t="n">
        <v>45695</v>
      </c>
      <c r="D275" t="inlineStr">
        <is>
          <t>SÖDERMANLANDS LÄN</t>
        </is>
      </c>
      <c r="E275" t="inlineStr">
        <is>
          <t>VINGÅKER</t>
        </is>
      </c>
      <c r="F275" t="inlineStr">
        <is>
          <t>Sveaskog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14087-2022</t>
        </is>
      </c>
      <c r="B276" s="1" t="n">
        <v>44651</v>
      </c>
      <c r="C276" s="1" t="n">
        <v>45695</v>
      </c>
      <c r="D276" t="inlineStr">
        <is>
          <t>SÖDERMANLANDS LÄN</t>
        </is>
      </c>
      <c r="E276" t="inlineStr">
        <is>
          <t>VINGÅKER</t>
        </is>
      </c>
      <c r="F276" t="inlineStr">
        <is>
          <t>Sveaskog</t>
        </is>
      </c>
      <c r="G276" t="n">
        <v>4.1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14522-2022</t>
        </is>
      </c>
      <c r="B277" s="1" t="n">
        <v>44655</v>
      </c>
      <c r="C277" s="1" t="n">
        <v>45695</v>
      </c>
      <c r="D277" t="inlineStr">
        <is>
          <t>SÖDERMANLANDS LÄN</t>
        </is>
      </c>
      <c r="E277" t="inlineStr">
        <is>
          <t>VINGÅKER</t>
        </is>
      </c>
      <c r="F277" t="inlineStr">
        <is>
          <t>Kommuner</t>
        </is>
      </c>
      <c r="G277" t="n">
        <v>3.5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14537-2022</t>
        </is>
      </c>
      <c r="B278" s="1" t="n">
        <v>44655</v>
      </c>
      <c r="C278" s="1" t="n">
        <v>45695</v>
      </c>
      <c r="D278" t="inlineStr">
        <is>
          <t>SÖDERMANLANDS LÄN</t>
        </is>
      </c>
      <c r="E278" t="inlineStr">
        <is>
          <t>VINGÅKER</t>
        </is>
      </c>
      <c r="F278" t="inlineStr">
        <is>
          <t>Kommuner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14517-2022</t>
        </is>
      </c>
      <c r="B279" s="1" t="n">
        <v>44655</v>
      </c>
      <c r="C279" s="1" t="n">
        <v>45695</v>
      </c>
      <c r="D279" t="inlineStr">
        <is>
          <t>SÖDERMANLANDS LÄN</t>
        </is>
      </c>
      <c r="E279" t="inlineStr">
        <is>
          <t>VINGÅKER</t>
        </is>
      </c>
      <c r="F279" t="inlineStr">
        <is>
          <t>Kommuner</t>
        </is>
      </c>
      <c r="G279" t="n">
        <v>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14534-2022</t>
        </is>
      </c>
      <c r="B280" s="1" t="n">
        <v>44655</v>
      </c>
      <c r="C280" s="1" t="n">
        <v>45695</v>
      </c>
      <c r="D280" t="inlineStr">
        <is>
          <t>SÖDERMANLANDS LÄN</t>
        </is>
      </c>
      <c r="E280" t="inlineStr">
        <is>
          <t>VINGÅKER</t>
        </is>
      </c>
      <c r="F280" t="inlineStr">
        <is>
          <t>Kommuner</t>
        </is>
      </c>
      <c r="G280" t="n">
        <v>2.8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14532-2022</t>
        </is>
      </c>
      <c r="B281" s="1" t="n">
        <v>44655</v>
      </c>
      <c r="C281" s="1" t="n">
        <v>45695</v>
      </c>
      <c r="D281" t="inlineStr">
        <is>
          <t>SÖDERMANLANDS LÄN</t>
        </is>
      </c>
      <c r="E281" t="inlineStr">
        <is>
          <t>VINGÅKER</t>
        </is>
      </c>
      <c r="F281" t="inlineStr">
        <is>
          <t>Kommuner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16495-2022</t>
        </is>
      </c>
      <c r="B282" s="1" t="n">
        <v>44671</v>
      </c>
      <c r="C282" s="1" t="n">
        <v>45695</v>
      </c>
      <c r="D282" t="inlineStr">
        <is>
          <t>SÖDERMANLANDS LÄN</t>
        </is>
      </c>
      <c r="E282" t="inlineStr">
        <is>
          <t>VINGÅKER</t>
        </is>
      </c>
      <c r="G282" t="n">
        <v>2.8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16493-2022</t>
        </is>
      </c>
      <c r="B283" s="1" t="n">
        <v>44671</v>
      </c>
      <c r="C283" s="1" t="n">
        <v>45695</v>
      </c>
      <c r="D283" t="inlineStr">
        <is>
          <t>SÖDERMANLANDS LÄN</t>
        </is>
      </c>
      <c r="E283" t="inlineStr">
        <is>
          <t>VINGÅKER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17435-2022</t>
        </is>
      </c>
      <c r="B284" s="1" t="n">
        <v>44678</v>
      </c>
      <c r="C284" s="1" t="n">
        <v>45695</v>
      </c>
      <c r="D284" t="inlineStr">
        <is>
          <t>SÖDERMANLANDS LÄN</t>
        </is>
      </c>
      <c r="E284" t="inlineStr">
        <is>
          <t>VINGÅKER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17628-2022</t>
        </is>
      </c>
      <c r="B285" s="1" t="n">
        <v>44680</v>
      </c>
      <c r="C285" s="1" t="n">
        <v>45695</v>
      </c>
      <c r="D285" t="inlineStr">
        <is>
          <t>SÖDERMANLANDS LÄN</t>
        </is>
      </c>
      <c r="E285" t="inlineStr">
        <is>
          <t>VINGÅKER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18297-2022</t>
        </is>
      </c>
      <c r="B286" s="1" t="n">
        <v>44685</v>
      </c>
      <c r="C286" s="1" t="n">
        <v>45695</v>
      </c>
      <c r="D286" t="inlineStr">
        <is>
          <t>SÖDERMANLANDS LÄN</t>
        </is>
      </c>
      <c r="E286" t="inlineStr">
        <is>
          <t>VINGÅKER</t>
        </is>
      </c>
      <c r="G286" t="n">
        <v>2.4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18252-2022</t>
        </is>
      </c>
      <c r="B287" s="1" t="n">
        <v>44685</v>
      </c>
      <c r="C287" s="1" t="n">
        <v>45695</v>
      </c>
      <c r="D287" t="inlineStr">
        <is>
          <t>SÖDERMANLANDS LÄN</t>
        </is>
      </c>
      <c r="E287" t="inlineStr">
        <is>
          <t>VINGÅKER</t>
        </is>
      </c>
      <c r="G287" t="n">
        <v>12.7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18293-2022</t>
        </is>
      </c>
      <c r="B288" s="1" t="n">
        <v>44685</v>
      </c>
      <c r="C288" s="1" t="n">
        <v>45695</v>
      </c>
      <c r="D288" t="inlineStr">
        <is>
          <t>SÖDERMANLANDS LÄN</t>
        </is>
      </c>
      <c r="E288" t="inlineStr">
        <is>
          <t>VINGÅKER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18241-2022</t>
        </is>
      </c>
      <c r="B289" s="1" t="n">
        <v>44685</v>
      </c>
      <c r="C289" s="1" t="n">
        <v>45695</v>
      </c>
      <c r="D289" t="inlineStr">
        <is>
          <t>SÖDERMANLANDS LÄN</t>
        </is>
      </c>
      <c r="E289" t="inlineStr">
        <is>
          <t>VINGÅKER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19370-2022</t>
        </is>
      </c>
      <c r="B290" s="1" t="n">
        <v>44692</v>
      </c>
      <c r="C290" s="1" t="n">
        <v>45695</v>
      </c>
      <c r="D290" t="inlineStr">
        <is>
          <t>SÖDERMANLANDS LÄN</t>
        </is>
      </c>
      <c r="E290" t="inlineStr">
        <is>
          <t>VINGÅKER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24106-2022</t>
        </is>
      </c>
      <c r="B291" s="1" t="n">
        <v>44725</v>
      </c>
      <c r="C291" s="1" t="n">
        <v>45695</v>
      </c>
      <c r="D291" t="inlineStr">
        <is>
          <t>SÖDERMANLANDS LÄN</t>
        </is>
      </c>
      <c r="E291" t="inlineStr">
        <is>
          <t>VINGÅKER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26086-2022</t>
        </is>
      </c>
      <c r="B292" s="1" t="n">
        <v>44734</v>
      </c>
      <c r="C292" s="1" t="n">
        <v>45695</v>
      </c>
      <c r="D292" t="inlineStr">
        <is>
          <t>SÖDERMANLANDS LÄN</t>
        </is>
      </c>
      <c r="E292" t="inlineStr">
        <is>
          <t>VINGÅKER</t>
        </is>
      </c>
      <c r="G292" t="n">
        <v>4.7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26244-2022</t>
        </is>
      </c>
      <c r="B293" s="1" t="n">
        <v>44735</v>
      </c>
      <c r="C293" s="1" t="n">
        <v>45695</v>
      </c>
      <c r="D293" t="inlineStr">
        <is>
          <t>SÖDERMANLANDS LÄN</t>
        </is>
      </c>
      <c r="E293" t="inlineStr">
        <is>
          <t>VINGÅKER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27341-2022</t>
        </is>
      </c>
      <c r="B294" s="1" t="n">
        <v>44742</v>
      </c>
      <c r="C294" s="1" t="n">
        <v>45695</v>
      </c>
      <c r="D294" t="inlineStr">
        <is>
          <t>SÖDERMANLANDS LÄN</t>
        </is>
      </c>
      <c r="E294" t="inlineStr">
        <is>
          <t>VINGÅKER</t>
        </is>
      </c>
      <c r="G294" t="n">
        <v>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28003-2022</t>
        </is>
      </c>
      <c r="B295" s="1" t="n">
        <v>44744</v>
      </c>
      <c r="C295" s="1" t="n">
        <v>45695</v>
      </c>
      <c r="D295" t="inlineStr">
        <is>
          <t>SÖDERMANLANDS LÄN</t>
        </is>
      </c>
      <c r="E295" t="inlineStr">
        <is>
          <t>VINGÅKER</t>
        </is>
      </c>
      <c r="G295" t="n">
        <v>5.5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28002-2022</t>
        </is>
      </c>
      <c r="B296" s="1" t="n">
        <v>44744</v>
      </c>
      <c r="C296" s="1" t="n">
        <v>45695</v>
      </c>
      <c r="D296" t="inlineStr">
        <is>
          <t>SÖDERMANLANDS LÄN</t>
        </is>
      </c>
      <c r="E296" t="inlineStr">
        <is>
          <t>VINGÅKER</t>
        </is>
      </c>
      <c r="G296" t="n">
        <v>10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29421-2022</t>
        </is>
      </c>
      <c r="B297" s="1" t="n">
        <v>44752</v>
      </c>
      <c r="C297" s="1" t="n">
        <v>45695</v>
      </c>
      <c r="D297" t="inlineStr">
        <is>
          <t>SÖDERMANLANDS LÄN</t>
        </is>
      </c>
      <c r="E297" t="inlineStr">
        <is>
          <t>VINGÅKER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29366-2022</t>
        </is>
      </c>
      <c r="B298" s="1" t="n">
        <v>44752</v>
      </c>
      <c r="C298" s="1" t="n">
        <v>45695</v>
      </c>
      <c r="D298" t="inlineStr">
        <is>
          <t>SÖDERMANLANDS LÄN</t>
        </is>
      </c>
      <c r="E298" t="inlineStr">
        <is>
          <t>VINGÅKER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30575-2022</t>
        </is>
      </c>
      <c r="B299" s="1" t="n">
        <v>44762</v>
      </c>
      <c r="C299" s="1" t="n">
        <v>45695</v>
      </c>
      <c r="D299" t="inlineStr">
        <is>
          <t>SÖDERMANLANDS LÄN</t>
        </is>
      </c>
      <c r="E299" t="inlineStr">
        <is>
          <t>VINGÅKER</t>
        </is>
      </c>
      <c r="F299" t="inlineStr">
        <is>
          <t>Övriga Aktiebolag</t>
        </is>
      </c>
      <c r="G299" t="n">
        <v>10.5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31214-2022</t>
        </is>
      </c>
      <c r="B300" s="1" t="n">
        <v>44771</v>
      </c>
      <c r="C300" s="1" t="n">
        <v>45695</v>
      </c>
      <c r="D300" t="inlineStr">
        <is>
          <t>SÖDERMANLANDS LÄN</t>
        </is>
      </c>
      <c r="E300" t="inlineStr">
        <is>
          <t>VINGÅKER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31681-2022</t>
        </is>
      </c>
      <c r="B301" s="1" t="n">
        <v>44776</v>
      </c>
      <c r="C301" s="1" t="n">
        <v>45695</v>
      </c>
      <c r="D301" t="inlineStr">
        <is>
          <t>SÖDERMANLANDS LÄN</t>
        </is>
      </c>
      <c r="E301" t="inlineStr">
        <is>
          <t>VINGÅKER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34159-2022</t>
        </is>
      </c>
      <c r="B302" s="1" t="n">
        <v>44791</v>
      </c>
      <c r="C302" s="1" t="n">
        <v>45695</v>
      </c>
      <c r="D302" t="inlineStr">
        <is>
          <t>SÖDERMANLANDS LÄN</t>
        </is>
      </c>
      <c r="E302" t="inlineStr">
        <is>
          <t>VINGÅKER</t>
        </is>
      </c>
      <c r="G302" t="n">
        <v>8.800000000000001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35257-2022</t>
        </is>
      </c>
      <c r="B303" s="1" t="n">
        <v>44798</v>
      </c>
      <c r="C303" s="1" t="n">
        <v>45695</v>
      </c>
      <c r="D303" t="inlineStr">
        <is>
          <t>SÖDERMANLANDS LÄN</t>
        </is>
      </c>
      <c r="E303" t="inlineStr">
        <is>
          <t>VINGÅKER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37474-2022</t>
        </is>
      </c>
      <c r="B304" s="1" t="n">
        <v>44809</v>
      </c>
      <c r="C304" s="1" t="n">
        <v>45695</v>
      </c>
      <c r="D304" t="inlineStr">
        <is>
          <t>SÖDERMANLANDS LÄN</t>
        </is>
      </c>
      <c r="E304" t="inlineStr">
        <is>
          <t>VINGÅKER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39202-2022</t>
        </is>
      </c>
      <c r="B305" s="1" t="n">
        <v>44817</v>
      </c>
      <c r="C305" s="1" t="n">
        <v>45695</v>
      </c>
      <c r="D305" t="inlineStr">
        <is>
          <t>SÖDERMANLANDS LÄN</t>
        </is>
      </c>
      <c r="E305" t="inlineStr">
        <is>
          <t>VINGÅKER</t>
        </is>
      </c>
      <c r="G305" t="n">
        <v>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39881-2022</t>
        </is>
      </c>
      <c r="B306" s="1" t="n">
        <v>44819</v>
      </c>
      <c r="C306" s="1" t="n">
        <v>45695</v>
      </c>
      <c r="D306" t="inlineStr">
        <is>
          <t>SÖDERMANLANDS LÄN</t>
        </is>
      </c>
      <c r="E306" t="inlineStr">
        <is>
          <t>VINGÅKER</t>
        </is>
      </c>
      <c r="F306" t="inlineStr">
        <is>
          <t>Sveaskog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40253-2022</t>
        </is>
      </c>
      <c r="B307" s="1" t="n">
        <v>44820</v>
      </c>
      <c r="C307" s="1" t="n">
        <v>45695</v>
      </c>
      <c r="D307" t="inlineStr">
        <is>
          <t>SÖDERMANLANDS LÄN</t>
        </is>
      </c>
      <c r="E307" t="inlineStr">
        <is>
          <t>VINGÅKER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41529-2022</t>
        </is>
      </c>
      <c r="B308" s="1" t="n">
        <v>44827</v>
      </c>
      <c r="C308" s="1" t="n">
        <v>45695</v>
      </c>
      <c r="D308" t="inlineStr">
        <is>
          <t>SÖDERMANLANDS LÄN</t>
        </is>
      </c>
      <c r="E308" t="inlineStr">
        <is>
          <t>VINGÅKER</t>
        </is>
      </c>
      <c r="F308" t="inlineStr">
        <is>
          <t>Övriga Aktiebolag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42146-2022</t>
        </is>
      </c>
      <c r="B309" s="1" t="n">
        <v>44830</v>
      </c>
      <c r="C309" s="1" t="n">
        <v>45695</v>
      </c>
      <c r="D309" t="inlineStr">
        <is>
          <t>SÖDERMANLANDS LÄN</t>
        </is>
      </c>
      <c r="E309" t="inlineStr">
        <is>
          <t>VINGÅKER</t>
        </is>
      </c>
      <c r="G309" t="n">
        <v>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42161-2022</t>
        </is>
      </c>
      <c r="B310" s="1" t="n">
        <v>44830</v>
      </c>
      <c r="C310" s="1" t="n">
        <v>45695</v>
      </c>
      <c r="D310" t="inlineStr">
        <is>
          <t>SÖDERMANLANDS LÄN</t>
        </is>
      </c>
      <c r="E310" t="inlineStr">
        <is>
          <t>VINGÅKER</t>
        </is>
      </c>
      <c r="G310" t="n">
        <v>6.8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41952-2022</t>
        </is>
      </c>
      <c r="B311" s="1" t="n">
        <v>44830</v>
      </c>
      <c r="C311" s="1" t="n">
        <v>45695</v>
      </c>
      <c r="D311" t="inlineStr">
        <is>
          <t>SÖDERMANLANDS LÄN</t>
        </is>
      </c>
      <c r="E311" t="inlineStr">
        <is>
          <t>VINGÅKER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42116-2022</t>
        </is>
      </c>
      <c r="B312" s="1" t="n">
        <v>44830</v>
      </c>
      <c r="C312" s="1" t="n">
        <v>45695</v>
      </c>
      <c r="D312" t="inlineStr">
        <is>
          <t>SÖDERMANLANDS LÄN</t>
        </is>
      </c>
      <c r="E312" t="inlineStr">
        <is>
          <t>VINGÅKER</t>
        </is>
      </c>
      <c r="G312" t="n">
        <v>3.6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42157-2022</t>
        </is>
      </c>
      <c r="B313" s="1" t="n">
        <v>44830</v>
      </c>
      <c r="C313" s="1" t="n">
        <v>45695</v>
      </c>
      <c r="D313" t="inlineStr">
        <is>
          <t>SÖDERMANLANDS LÄN</t>
        </is>
      </c>
      <c r="E313" t="inlineStr">
        <is>
          <t>VINGÅKER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42141-2022</t>
        </is>
      </c>
      <c r="B314" s="1" t="n">
        <v>44830</v>
      </c>
      <c r="C314" s="1" t="n">
        <v>45695</v>
      </c>
      <c r="D314" t="inlineStr">
        <is>
          <t>SÖDERMANLANDS LÄN</t>
        </is>
      </c>
      <c r="E314" t="inlineStr">
        <is>
          <t>VINGÅKER</t>
        </is>
      </c>
      <c r="G314" t="n">
        <v>2.7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43215-2022</t>
        </is>
      </c>
      <c r="B315" s="1" t="n">
        <v>44834</v>
      </c>
      <c r="C315" s="1" t="n">
        <v>45695</v>
      </c>
      <c r="D315" t="inlineStr">
        <is>
          <t>SÖDERMANLANDS LÄN</t>
        </is>
      </c>
      <c r="E315" t="inlineStr">
        <is>
          <t>VINGÅKER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44376-2022</t>
        </is>
      </c>
      <c r="B316" s="1" t="n">
        <v>44839</v>
      </c>
      <c r="C316" s="1" t="n">
        <v>45695</v>
      </c>
      <c r="D316" t="inlineStr">
        <is>
          <t>SÖDERMANLANDS LÄN</t>
        </is>
      </c>
      <c r="E316" t="inlineStr">
        <is>
          <t>VINGÅKER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49090-2022</t>
        </is>
      </c>
      <c r="B317" s="1" t="n">
        <v>44857</v>
      </c>
      <c r="C317" s="1" t="n">
        <v>45695</v>
      </c>
      <c r="D317" t="inlineStr">
        <is>
          <t>SÖDERMANLANDS LÄN</t>
        </is>
      </c>
      <c r="E317" t="inlineStr">
        <is>
          <t>VINGÅKER</t>
        </is>
      </c>
      <c r="G317" t="n">
        <v>3.5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48638-2022</t>
        </is>
      </c>
      <c r="B318" s="1" t="n">
        <v>44859</v>
      </c>
      <c r="C318" s="1" t="n">
        <v>45695</v>
      </c>
      <c r="D318" t="inlineStr">
        <is>
          <t>SÖDERMANLANDS LÄN</t>
        </is>
      </c>
      <c r="E318" t="inlineStr">
        <is>
          <t>VINGÅKER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48617-2022</t>
        </is>
      </c>
      <c r="B319" s="1" t="n">
        <v>44859</v>
      </c>
      <c r="C319" s="1" t="n">
        <v>45695</v>
      </c>
      <c r="D319" t="inlineStr">
        <is>
          <t>SÖDERMANLANDS LÄN</t>
        </is>
      </c>
      <c r="E319" t="inlineStr">
        <is>
          <t>VINGÅKER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48631-2022</t>
        </is>
      </c>
      <c r="B320" s="1" t="n">
        <v>44859</v>
      </c>
      <c r="C320" s="1" t="n">
        <v>45695</v>
      </c>
      <c r="D320" t="inlineStr">
        <is>
          <t>SÖDERMANLANDS LÄN</t>
        </is>
      </c>
      <c r="E320" t="inlineStr">
        <is>
          <t>VINGÅKER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48620-2022</t>
        </is>
      </c>
      <c r="B321" s="1" t="n">
        <v>44859</v>
      </c>
      <c r="C321" s="1" t="n">
        <v>45695</v>
      </c>
      <c r="D321" t="inlineStr">
        <is>
          <t>SÖDERMANLANDS LÄN</t>
        </is>
      </c>
      <c r="E321" t="inlineStr">
        <is>
          <t>VINGÅKER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48644-2022</t>
        </is>
      </c>
      <c r="B322" s="1" t="n">
        <v>44859</v>
      </c>
      <c r="C322" s="1" t="n">
        <v>45695</v>
      </c>
      <c r="D322" t="inlineStr">
        <is>
          <t>SÖDERMANLANDS LÄN</t>
        </is>
      </c>
      <c r="E322" t="inlineStr">
        <is>
          <t>VINGÅKER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48627-2022</t>
        </is>
      </c>
      <c r="B323" s="1" t="n">
        <v>44859</v>
      </c>
      <c r="C323" s="1" t="n">
        <v>45695</v>
      </c>
      <c r="D323" t="inlineStr">
        <is>
          <t>SÖDERMANLANDS LÄN</t>
        </is>
      </c>
      <c r="E323" t="inlineStr">
        <is>
          <t>VINGÅKER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48649-2022</t>
        </is>
      </c>
      <c r="B324" s="1" t="n">
        <v>44859</v>
      </c>
      <c r="C324" s="1" t="n">
        <v>45695</v>
      </c>
      <c r="D324" t="inlineStr">
        <is>
          <t>SÖDERMANLANDS LÄN</t>
        </is>
      </c>
      <c r="E324" t="inlineStr">
        <is>
          <t>VINGÅKER</t>
        </is>
      </c>
      <c r="G324" t="n">
        <v>4.1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51891-2022</t>
        </is>
      </c>
      <c r="B325" s="1" t="n">
        <v>44867</v>
      </c>
      <c r="C325" s="1" t="n">
        <v>45695</v>
      </c>
      <c r="D325" t="inlineStr">
        <is>
          <t>SÖDERMANLANDS LÄN</t>
        </is>
      </c>
      <c r="E325" t="inlineStr">
        <is>
          <t>VINGÅKER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53310-2022</t>
        </is>
      </c>
      <c r="B326" s="1" t="n">
        <v>44878</v>
      </c>
      <c r="C326" s="1" t="n">
        <v>45695</v>
      </c>
      <c r="D326" t="inlineStr">
        <is>
          <t>SÖDERMANLANDS LÄN</t>
        </is>
      </c>
      <c r="E326" t="inlineStr">
        <is>
          <t>VINGÅKER</t>
        </is>
      </c>
      <c r="G326" t="n">
        <v>4.3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53311-2022</t>
        </is>
      </c>
      <c r="B327" s="1" t="n">
        <v>44878</v>
      </c>
      <c r="C327" s="1" t="n">
        <v>45695</v>
      </c>
      <c r="D327" t="inlineStr">
        <is>
          <t>SÖDERMANLANDS LÄN</t>
        </is>
      </c>
      <c r="E327" t="inlineStr">
        <is>
          <t>VINGÅKER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53384-2022</t>
        </is>
      </c>
      <c r="B328" s="1" t="n">
        <v>44879</v>
      </c>
      <c r="C328" s="1" t="n">
        <v>45695</v>
      </c>
      <c r="D328" t="inlineStr">
        <is>
          <t>SÖDERMANLANDS LÄN</t>
        </is>
      </c>
      <c r="E328" t="inlineStr">
        <is>
          <t>VINGÅKER</t>
        </is>
      </c>
      <c r="G328" t="n">
        <v>4.4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53756-2022</t>
        </is>
      </c>
      <c r="B329" s="1" t="n">
        <v>44880</v>
      </c>
      <c r="C329" s="1" t="n">
        <v>45695</v>
      </c>
      <c r="D329" t="inlineStr">
        <is>
          <t>SÖDERMANLANDS LÄN</t>
        </is>
      </c>
      <c r="E329" t="inlineStr">
        <is>
          <t>VINGÅKER</t>
        </is>
      </c>
      <c r="G329" t="n">
        <v>5.1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55640-2022</t>
        </is>
      </c>
      <c r="B330" s="1" t="n">
        <v>44888</v>
      </c>
      <c r="C330" s="1" t="n">
        <v>45695</v>
      </c>
      <c r="D330" t="inlineStr">
        <is>
          <t>SÖDERMANLANDS LÄN</t>
        </is>
      </c>
      <c r="E330" t="inlineStr">
        <is>
          <t>VINGÅKER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55645-2022</t>
        </is>
      </c>
      <c r="B331" s="1" t="n">
        <v>44888</v>
      </c>
      <c r="C331" s="1" t="n">
        <v>45695</v>
      </c>
      <c r="D331" t="inlineStr">
        <is>
          <t>SÖDERMANLANDS LÄN</t>
        </is>
      </c>
      <c r="E331" t="inlineStr">
        <is>
          <t>VINGÅKER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55651-2022</t>
        </is>
      </c>
      <c r="B332" s="1" t="n">
        <v>44888</v>
      </c>
      <c r="C332" s="1" t="n">
        <v>45695</v>
      </c>
      <c r="D332" t="inlineStr">
        <is>
          <t>SÖDERMANLANDS LÄN</t>
        </is>
      </c>
      <c r="E332" t="inlineStr">
        <is>
          <t>VINGÅKER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58224-2022</t>
        </is>
      </c>
      <c r="B333" s="1" t="n">
        <v>44893</v>
      </c>
      <c r="C333" s="1" t="n">
        <v>45695</v>
      </c>
      <c r="D333" t="inlineStr">
        <is>
          <t>SÖDERMANLANDS LÄN</t>
        </is>
      </c>
      <c r="E333" t="inlineStr">
        <is>
          <t>VINGÅKER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57115-2022</t>
        </is>
      </c>
      <c r="B334" s="1" t="n">
        <v>44895</v>
      </c>
      <c r="C334" s="1" t="n">
        <v>45695</v>
      </c>
      <c r="D334" t="inlineStr">
        <is>
          <t>SÖDERMANLANDS LÄN</t>
        </is>
      </c>
      <c r="E334" t="inlineStr">
        <is>
          <t>VINGÅKER</t>
        </is>
      </c>
      <c r="G334" t="n">
        <v>6.6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59971-2022</t>
        </is>
      </c>
      <c r="B335" s="1" t="n">
        <v>44902</v>
      </c>
      <c r="C335" s="1" t="n">
        <v>45695</v>
      </c>
      <c r="D335" t="inlineStr">
        <is>
          <t>SÖDERMANLANDS LÄN</t>
        </is>
      </c>
      <c r="E335" t="inlineStr">
        <is>
          <t>VINGÅKER</t>
        </is>
      </c>
      <c r="G335" t="n">
        <v>10.1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59988-2022</t>
        </is>
      </c>
      <c r="B336" s="1" t="n">
        <v>44902</v>
      </c>
      <c r="C336" s="1" t="n">
        <v>45695</v>
      </c>
      <c r="D336" t="inlineStr">
        <is>
          <t>SÖDERMANLANDS LÄN</t>
        </is>
      </c>
      <c r="E336" t="inlineStr">
        <is>
          <t>VINGÅKER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58842-2022</t>
        </is>
      </c>
      <c r="B337" s="1" t="n">
        <v>44903</v>
      </c>
      <c r="C337" s="1" t="n">
        <v>45695</v>
      </c>
      <c r="D337" t="inlineStr">
        <is>
          <t>SÖDERMANLANDS LÄN</t>
        </is>
      </c>
      <c r="E337" t="inlineStr">
        <is>
          <t>VINGÅKER</t>
        </is>
      </c>
      <c r="G337" t="n">
        <v>2.6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60276-2022</t>
        </is>
      </c>
      <c r="B338" s="1" t="n">
        <v>44910</v>
      </c>
      <c r="C338" s="1" t="n">
        <v>45695</v>
      </c>
      <c r="D338" t="inlineStr">
        <is>
          <t>SÖDERMANLANDS LÄN</t>
        </is>
      </c>
      <c r="E338" t="inlineStr">
        <is>
          <t>VINGÅKER</t>
        </is>
      </c>
      <c r="G338" t="n">
        <v>3.3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60298-2022</t>
        </is>
      </c>
      <c r="B339" s="1" t="n">
        <v>44910</v>
      </c>
      <c r="C339" s="1" t="n">
        <v>45695</v>
      </c>
      <c r="D339" t="inlineStr">
        <is>
          <t>SÖDERMANLANDS LÄN</t>
        </is>
      </c>
      <c r="E339" t="inlineStr">
        <is>
          <t>VINGÅKER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60345-2022</t>
        </is>
      </c>
      <c r="B340" s="1" t="n">
        <v>44910</v>
      </c>
      <c r="C340" s="1" t="n">
        <v>45695</v>
      </c>
      <c r="D340" t="inlineStr">
        <is>
          <t>SÖDERMANLANDS LÄN</t>
        </is>
      </c>
      <c r="E340" t="inlineStr">
        <is>
          <t>VINGÅKER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60334-2022</t>
        </is>
      </c>
      <c r="B341" s="1" t="n">
        <v>44910</v>
      </c>
      <c r="C341" s="1" t="n">
        <v>45695</v>
      </c>
      <c r="D341" t="inlineStr">
        <is>
          <t>SÖDERMANLANDS LÄN</t>
        </is>
      </c>
      <c r="E341" t="inlineStr">
        <is>
          <t>VINGÅKER</t>
        </is>
      </c>
      <c r="G341" t="n">
        <v>3.4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60332-2022</t>
        </is>
      </c>
      <c r="B342" s="1" t="n">
        <v>44910</v>
      </c>
      <c r="C342" s="1" t="n">
        <v>45695</v>
      </c>
      <c r="D342" t="inlineStr">
        <is>
          <t>SÖDERMANLANDS LÄN</t>
        </is>
      </c>
      <c r="E342" t="inlineStr">
        <is>
          <t>VINGÅKER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60340-2022</t>
        </is>
      </c>
      <c r="B343" s="1" t="n">
        <v>44910</v>
      </c>
      <c r="C343" s="1" t="n">
        <v>45695</v>
      </c>
      <c r="D343" t="inlineStr">
        <is>
          <t>SÖDERMANLANDS LÄN</t>
        </is>
      </c>
      <c r="E343" t="inlineStr">
        <is>
          <t>VINGÅKER</t>
        </is>
      </c>
      <c r="G343" t="n">
        <v>2.4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60394-2022</t>
        </is>
      </c>
      <c r="B344" s="1" t="n">
        <v>44910</v>
      </c>
      <c r="C344" s="1" t="n">
        <v>45695</v>
      </c>
      <c r="D344" t="inlineStr">
        <is>
          <t>SÖDERMANLANDS LÄN</t>
        </is>
      </c>
      <c r="E344" t="inlineStr">
        <is>
          <t>VINGÅKER</t>
        </is>
      </c>
      <c r="G344" t="n">
        <v>5.1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61534-2022</t>
        </is>
      </c>
      <c r="B345" s="1" t="n">
        <v>44910</v>
      </c>
      <c r="C345" s="1" t="n">
        <v>45695</v>
      </c>
      <c r="D345" t="inlineStr">
        <is>
          <t>SÖDERMANLANDS LÄN</t>
        </is>
      </c>
      <c r="E345" t="inlineStr">
        <is>
          <t>VINGÅKER</t>
        </is>
      </c>
      <c r="F345" t="inlineStr">
        <is>
          <t>Kommuner</t>
        </is>
      </c>
      <c r="G345" t="n">
        <v>4.6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61828-2022</t>
        </is>
      </c>
      <c r="B346" s="1" t="n">
        <v>44917</v>
      </c>
      <c r="C346" s="1" t="n">
        <v>45695</v>
      </c>
      <c r="D346" t="inlineStr">
        <is>
          <t>SÖDERMANLANDS LÄN</t>
        </is>
      </c>
      <c r="E346" t="inlineStr">
        <is>
          <t>VINGÅKER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61835-2022</t>
        </is>
      </c>
      <c r="B347" s="1" t="n">
        <v>44917</v>
      </c>
      <c r="C347" s="1" t="n">
        <v>45695</v>
      </c>
      <c r="D347" t="inlineStr">
        <is>
          <t>SÖDERMANLANDS LÄN</t>
        </is>
      </c>
      <c r="E347" t="inlineStr">
        <is>
          <t>VINGÅKER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61825-2022</t>
        </is>
      </c>
      <c r="B348" s="1" t="n">
        <v>44917</v>
      </c>
      <c r="C348" s="1" t="n">
        <v>45695</v>
      </c>
      <c r="D348" t="inlineStr">
        <is>
          <t>SÖDERMANLANDS LÄN</t>
        </is>
      </c>
      <c r="E348" t="inlineStr">
        <is>
          <t>VINGÅKER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61840-2022</t>
        </is>
      </c>
      <c r="B349" s="1" t="n">
        <v>44917</v>
      </c>
      <c r="C349" s="1" t="n">
        <v>45695</v>
      </c>
      <c r="D349" t="inlineStr">
        <is>
          <t>SÖDERMANLANDS LÄN</t>
        </is>
      </c>
      <c r="E349" t="inlineStr">
        <is>
          <t>VINGÅKER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61842-2022</t>
        </is>
      </c>
      <c r="B350" s="1" t="n">
        <v>44917</v>
      </c>
      <c r="C350" s="1" t="n">
        <v>45695</v>
      </c>
      <c r="D350" t="inlineStr">
        <is>
          <t>SÖDERMANLANDS LÄN</t>
        </is>
      </c>
      <c r="E350" t="inlineStr">
        <is>
          <t>VINGÅKER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124-2023</t>
        </is>
      </c>
      <c r="B351" s="1" t="n">
        <v>44918</v>
      </c>
      <c r="C351" s="1" t="n">
        <v>45695</v>
      </c>
      <c r="D351" t="inlineStr">
        <is>
          <t>SÖDERMANLANDS LÄN</t>
        </is>
      </c>
      <c r="E351" t="inlineStr">
        <is>
          <t>VINGÅKER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132-2023</t>
        </is>
      </c>
      <c r="B352" s="1" t="n">
        <v>44918</v>
      </c>
      <c r="C352" s="1" t="n">
        <v>45695</v>
      </c>
      <c r="D352" t="inlineStr">
        <is>
          <t>SÖDERMANLANDS LÄN</t>
        </is>
      </c>
      <c r="E352" t="inlineStr">
        <is>
          <t>VINGÅKER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130-2023</t>
        </is>
      </c>
      <c r="B353" s="1" t="n">
        <v>44918</v>
      </c>
      <c r="C353" s="1" t="n">
        <v>45695</v>
      </c>
      <c r="D353" t="inlineStr">
        <is>
          <t>SÖDERMANLANDS LÄN</t>
        </is>
      </c>
      <c r="E353" t="inlineStr">
        <is>
          <t>VINGÅKER</t>
        </is>
      </c>
      <c r="G353" t="n">
        <v>6.6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134-2023</t>
        </is>
      </c>
      <c r="B354" s="1" t="n">
        <v>44918</v>
      </c>
      <c r="C354" s="1" t="n">
        <v>45695</v>
      </c>
      <c r="D354" t="inlineStr">
        <is>
          <t>SÖDERMANLANDS LÄN</t>
        </is>
      </c>
      <c r="E354" t="inlineStr">
        <is>
          <t>VINGÅKER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131-2023</t>
        </is>
      </c>
      <c r="B355" s="1" t="n">
        <v>44918</v>
      </c>
      <c r="C355" s="1" t="n">
        <v>45695</v>
      </c>
      <c r="D355" t="inlineStr">
        <is>
          <t>SÖDERMANLANDS LÄN</t>
        </is>
      </c>
      <c r="E355" t="inlineStr">
        <is>
          <t>VINGÅKER</t>
        </is>
      </c>
      <c r="G355" t="n">
        <v>3.8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128-2023</t>
        </is>
      </c>
      <c r="B356" s="1" t="n">
        <v>44918</v>
      </c>
      <c r="C356" s="1" t="n">
        <v>45695</v>
      </c>
      <c r="D356" t="inlineStr">
        <is>
          <t>SÖDERMANLANDS LÄN</t>
        </is>
      </c>
      <c r="E356" t="inlineStr">
        <is>
          <t>VINGÅKER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133-2023</t>
        </is>
      </c>
      <c r="B357" s="1" t="n">
        <v>44918</v>
      </c>
      <c r="C357" s="1" t="n">
        <v>45695</v>
      </c>
      <c r="D357" t="inlineStr">
        <is>
          <t>SÖDERMANLANDS LÄN</t>
        </is>
      </c>
      <c r="E357" t="inlineStr">
        <is>
          <t>VINGÅKER</t>
        </is>
      </c>
      <c r="G357" t="n">
        <v>5.2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1459-2023</t>
        </is>
      </c>
      <c r="B358" s="1" t="n">
        <v>44937</v>
      </c>
      <c r="C358" s="1" t="n">
        <v>45695</v>
      </c>
      <c r="D358" t="inlineStr">
        <is>
          <t>SÖDERMANLANDS LÄN</t>
        </is>
      </c>
      <c r="E358" t="inlineStr">
        <is>
          <t>VINGÅKER</t>
        </is>
      </c>
      <c r="G358" t="n">
        <v>3.2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1455-2023</t>
        </is>
      </c>
      <c r="B359" s="1" t="n">
        <v>44937</v>
      </c>
      <c r="C359" s="1" t="n">
        <v>45695</v>
      </c>
      <c r="D359" t="inlineStr">
        <is>
          <t>SÖDERMANLANDS LÄN</t>
        </is>
      </c>
      <c r="E359" t="inlineStr">
        <is>
          <t>VINGÅKER</t>
        </is>
      </c>
      <c r="G359" t="n">
        <v>3.3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1460-2023</t>
        </is>
      </c>
      <c r="B360" s="1" t="n">
        <v>44937</v>
      </c>
      <c r="C360" s="1" t="n">
        <v>45695</v>
      </c>
      <c r="D360" t="inlineStr">
        <is>
          <t>SÖDERMANLANDS LÄN</t>
        </is>
      </c>
      <c r="E360" t="inlineStr">
        <is>
          <t>VINGÅKER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1788-2023</t>
        </is>
      </c>
      <c r="B361" s="1" t="n">
        <v>44937</v>
      </c>
      <c r="C361" s="1" t="n">
        <v>45695</v>
      </c>
      <c r="D361" t="inlineStr">
        <is>
          <t>SÖDERMANLANDS LÄN</t>
        </is>
      </c>
      <c r="E361" t="inlineStr">
        <is>
          <t>VINGÅKER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1785-2023</t>
        </is>
      </c>
      <c r="B362" s="1" t="n">
        <v>44937</v>
      </c>
      <c r="C362" s="1" t="n">
        <v>45695</v>
      </c>
      <c r="D362" t="inlineStr">
        <is>
          <t>SÖDERMANLANDS LÄN</t>
        </is>
      </c>
      <c r="E362" t="inlineStr">
        <is>
          <t>VINGÅKER</t>
        </is>
      </c>
      <c r="G362" t="n">
        <v>8.199999999999999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1721-2023</t>
        </is>
      </c>
      <c r="B363" s="1" t="n">
        <v>44938</v>
      </c>
      <c r="C363" s="1" t="n">
        <v>45695</v>
      </c>
      <c r="D363" t="inlineStr">
        <is>
          <t>SÖDERMANLANDS LÄN</t>
        </is>
      </c>
      <c r="E363" t="inlineStr">
        <is>
          <t>VINGÅKER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1714-2023</t>
        </is>
      </c>
      <c r="B364" s="1" t="n">
        <v>44938</v>
      </c>
      <c r="C364" s="1" t="n">
        <v>45695</v>
      </c>
      <c r="D364" t="inlineStr">
        <is>
          <t>SÖDERMANLANDS LÄN</t>
        </is>
      </c>
      <c r="E364" t="inlineStr">
        <is>
          <t>VINGÅKER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1826-2023</t>
        </is>
      </c>
      <c r="B365" s="1" t="n">
        <v>44938</v>
      </c>
      <c r="C365" s="1" t="n">
        <v>45695</v>
      </c>
      <c r="D365" t="inlineStr">
        <is>
          <t>SÖDERMANLANDS LÄN</t>
        </is>
      </c>
      <c r="E365" t="inlineStr">
        <is>
          <t>VINGÅKER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1817-2023</t>
        </is>
      </c>
      <c r="B366" s="1" t="n">
        <v>44938</v>
      </c>
      <c r="C366" s="1" t="n">
        <v>45695</v>
      </c>
      <c r="D366" t="inlineStr">
        <is>
          <t>SÖDERMANLANDS LÄN</t>
        </is>
      </c>
      <c r="E366" t="inlineStr">
        <is>
          <t>VINGÅKER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1822-2023</t>
        </is>
      </c>
      <c r="B367" s="1" t="n">
        <v>44938</v>
      </c>
      <c r="C367" s="1" t="n">
        <v>45695</v>
      </c>
      <c r="D367" t="inlineStr">
        <is>
          <t>SÖDERMANLANDS LÄN</t>
        </is>
      </c>
      <c r="E367" t="inlineStr">
        <is>
          <t>VINGÅKER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1827-2023</t>
        </is>
      </c>
      <c r="B368" s="1" t="n">
        <v>44938</v>
      </c>
      <c r="C368" s="1" t="n">
        <v>45695</v>
      </c>
      <c r="D368" t="inlineStr">
        <is>
          <t>SÖDERMANLANDS LÄN</t>
        </is>
      </c>
      <c r="E368" t="inlineStr">
        <is>
          <t>VINGÅKER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2270-2023</t>
        </is>
      </c>
      <c r="B369" s="1" t="n">
        <v>44942</v>
      </c>
      <c r="C369" s="1" t="n">
        <v>45695</v>
      </c>
      <c r="D369" t="inlineStr">
        <is>
          <t>SÖDERMANLANDS LÄN</t>
        </is>
      </c>
      <c r="E369" t="inlineStr">
        <is>
          <t>VINGÅKER</t>
        </is>
      </c>
      <c r="G369" t="n">
        <v>9.1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2686-2023</t>
        </is>
      </c>
      <c r="B370" s="1" t="n">
        <v>44942</v>
      </c>
      <c r="C370" s="1" t="n">
        <v>45695</v>
      </c>
      <c r="D370" t="inlineStr">
        <is>
          <t>SÖDERMANLANDS LÄN</t>
        </is>
      </c>
      <c r="E370" t="inlineStr">
        <is>
          <t>VINGÅKER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2586-2023</t>
        </is>
      </c>
      <c r="B371" s="1" t="n">
        <v>44943</v>
      </c>
      <c r="C371" s="1" t="n">
        <v>45695</v>
      </c>
      <c r="D371" t="inlineStr">
        <is>
          <t>SÖDERMANLANDS LÄN</t>
        </is>
      </c>
      <c r="E371" t="inlineStr">
        <is>
          <t>VINGÅKER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2681-2023</t>
        </is>
      </c>
      <c r="B372" s="1" t="n">
        <v>44944</v>
      </c>
      <c r="C372" s="1" t="n">
        <v>45695</v>
      </c>
      <c r="D372" t="inlineStr">
        <is>
          <t>SÖDERMANLANDS LÄN</t>
        </is>
      </c>
      <c r="E372" t="inlineStr">
        <is>
          <t>VINGÅKER</t>
        </is>
      </c>
      <c r="G372" t="n">
        <v>3.2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2888-2023</t>
        </is>
      </c>
      <c r="B373" s="1" t="n">
        <v>44945</v>
      </c>
      <c r="C373" s="1" t="n">
        <v>45695</v>
      </c>
      <c r="D373" t="inlineStr">
        <is>
          <t>SÖDERMANLANDS LÄN</t>
        </is>
      </c>
      <c r="E373" t="inlineStr">
        <is>
          <t>VINGÅKER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3676-2023</t>
        </is>
      </c>
      <c r="B374" s="1" t="n">
        <v>44950</v>
      </c>
      <c r="C374" s="1" t="n">
        <v>45695</v>
      </c>
      <c r="D374" t="inlineStr">
        <is>
          <t>SÖDERMANLANDS LÄN</t>
        </is>
      </c>
      <c r="E374" t="inlineStr">
        <is>
          <t>VINGÅKER</t>
        </is>
      </c>
      <c r="G374" t="n">
        <v>3.7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6553-2023</t>
        </is>
      </c>
      <c r="B375" s="1" t="n">
        <v>44961</v>
      </c>
      <c r="C375" s="1" t="n">
        <v>45695</v>
      </c>
      <c r="D375" t="inlineStr">
        <is>
          <t>SÖDERMANLANDS LÄN</t>
        </is>
      </c>
      <c r="E375" t="inlineStr">
        <is>
          <t>VINGÅKER</t>
        </is>
      </c>
      <c r="G375" t="n">
        <v>5.2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6824-2023</t>
        </is>
      </c>
      <c r="B376" s="1" t="n">
        <v>44967</v>
      </c>
      <c r="C376" s="1" t="n">
        <v>45695</v>
      </c>
      <c r="D376" t="inlineStr">
        <is>
          <t>SÖDERMANLANDS LÄN</t>
        </is>
      </c>
      <c r="E376" t="inlineStr">
        <is>
          <t>VINGÅKER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7154-2023</t>
        </is>
      </c>
      <c r="B377" s="1" t="n">
        <v>44970</v>
      </c>
      <c r="C377" s="1" t="n">
        <v>45695</v>
      </c>
      <c r="D377" t="inlineStr">
        <is>
          <t>SÖDERMANLANDS LÄN</t>
        </is>
      </c>
      <c r="E377" t="inlineStr">
        <is>
          <t>VINGÅKER</t>
        </is>
      </c>
      <c r="G377" t="n">
        <v>2.9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7355-2023</t>
        </is>
      </c>
      <c r="B378" s="1" t="n">
        <v>44971</v>
      </c>
      <c r="C378" s="1" t="n">
        <v>45695</v>
      </c>
      <c r="D378" t="inlineStr">
        <is>
          <t>SÖDERMANLANDS LÄN</t>
        </is>
      </c>
      <c r="E378" t="inlineStr">
        <is>
          <t>VINGÅKER</t>
        </is>
      </c>
      <c r="G378" t="n">
        <v>4.2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8429-2023</t>
        </is>
      </c>
      <c r="B379" s="1" t="n">
        <v>44977</v>
      </c>
      <c r="C379" s="1" t="n">
        <v>45695</v>
      </c>
      <c r="D379" t="inlineStr">
        <is>
          <t>SÖDERMANLANDS LÄN</t>
        </is>
      </c>
      <c r="E379" t="inlineStr">
        <is>
          <t>VINGÅKER</t>
        </is>
      </c>
      <c r="G379" t="n">
        <v>3.8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8442-2023</t>
        </is>
      </c>
      <c r="B380" s="1" t="n">
        <v>44977</v>
      </c>
      <c r="C380" s="1" t="n">
        <v>45695</v>
      </c>
      <c r="D380" t="inlineStr">
        <is>
          <t>SÖDERMANLANDS LÄN</t>
        </is>
      </c>
      <c r="E380" t="inlineStr">
        <is>
          <t>VINGÅKER</t>
        </is>
      </c>
      <c r="G380" t="n">
        <v>2.4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8465-2023</t>
        </is>
      </c>
      <c r="B381" s="1" t="n">
        <v>44977</v>
      </c>
      <c r="C381" s="1" t="n">
        <v>45695</v>
      </c>
      <c r="D381" t="inlineStr">
        <is>
          <t>SÖDERMANLANDS LÄN</t>
        </is>
      </c>
      <c r="E381" t="inlineStr">
        <is>
          <t>VINGÅKER</t>
        </is>
      </c>
      <c r="G381" t="n">
        <v>3.2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10154-2023</t>
        </is>
      </c>
      <c r="B382" s="1" t="n">
        <v>44979</v>
      </c>
      <c r="C382" s="1" t="n">
        <v>45695</v>
      </c>
      <c r="D382" t="inlineStr">
        <is>
          <t>SÖDERMANLANDS LÄN</t>
        </is>
      </c>
      <c r="E382" t="inlineStr">
        <is>
          <t>VINGÅKER</t>
        </is>
      </c>
      <c r="G382" t="n">
        <v>8.5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11371-2023</t>
        </is>
      </c>
      <c r="B383" s="1" t="n">
        <v>44990</v>
      </c>
      <c r="C383" s="1" t="n">
        <v>45695</v>
      </c>
      <c r="D383" t="inlineStr">
        <is>
          <t>SÖDERMANLANDS LÄN</t>
        </is>
      </c>
      <c r="E383" t="inlineStr">
        <is>
          <t>VINGÅKER</t>
        </is>
      </c>
      <c r="G383" t="n">
        <v>3.6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11376-2023</t>
        </is>
      </c>
      <c r="B384" s="1" t="n">
        <v>44990</v>
      </c>
      <c r="C384" s="1" t="n">
        <v>45695</v>
      </c>
      <c r="D384" t="inlineStr">
        <is>
          <t>SÖDERMANLANDS LÄN</t>
        </is>
      </c>
      <c r="E384" t="inlineStr">
        <is>
          <t>VINGÅKER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11405-2023</t>
        </is>
      </c>
      <c r="B385" s="1" t="n">
        <v>44993</v>
      </c>
      <c r="C385" s="1" t="n">
        <v>45695</v>
      </c>
      <c r="D385" t="inlineStr">
        <is>
          <t>SÖDERMANLANDS LÄN</t>
        </is>
      </c>
      <c r="E385" t="inlineStr">
        <is>
          <t>VINGÅKER</t>
        </is>
      </c>
      <c r="F385" t="inlineStr">
        <is>
          <t>Kyrkan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11400-2023</t>
        </is>
      </c>
      <c r="B386" s="1" t="n">
        <v>44993</v>
      </c>
      <c r="C386" s="1" t="n">
        <v>45695</v>
      </c>
      <c r="D386" t="inlineStr">
        <is>
          <t>SÖDERMANLANDS LÄN</t>
        </is>
      </c>
      <c r="E386" t="inlineStr">
        <is>
          <t>VINGÅKER</t>
        </is>
      </c>
      <c r="F386" t="inlineStr">
        <is>
          <t>Kyrkan</t>
        </is>
      </c>
      <c r="G386" t="n">
        <v>18.6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12716-2023</t>
        </is>
      </c>
      <c r="B387" s="1" t="n">
        <v>44999</v>
      </c>
      <c r="C387" s="1" t="n">
        <v>45695</v>
      </c>
      <c r="D387" t="inlineStr">
        <is>
          <t>SÖDERMANLANDS LÄN</t>
        </is>
      </c>
      <c r="E387" t="inlineStr">
        <is>
          <t>VINGÅKER</t>
        </is>
      </c>
      <c r="F387" t="inlineStr">
        <is>
          <t>Kommuner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14597-2023</t>
        </is>
      </c>
      <c r="B388" s="1" t="n">
        <v>45013</v>
      </c>
      <c r="C388" s="1" t="n">
        <v>45695</v>
      </c>
      <c r="D388" t="inlineStr">
        <is>
          <t>SÖDERMANLANDS LÄN</t>
        </is>
      </c>
      <c r="E388" t="inlineStr">
        <is>
          <t>VINGÅKER</t>
        </is>
      </c>
      <c r="G388" t="n">
        <v>3.8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16071-2023</t>
        </is>
      </c>
      <c r="B389" s="1" t="n">
        <v>45021</v>
      </c>
      <c r="C389" s="1" t="n">
        <v>45695</v>
      </c>
      <c r="D389" t="inlineStr">
        <is>
          <t>SÖDERMANLANDS LÄN</t>
        </is>
      </c>
      <c r="E389" t="inlineStr">
        <is>
          <t>VINGÅKER</t>
        </is>
      </c>
      <c r="G389" t="n">
        <v>0.3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16453-2023</t>
        </is>
      </c>
      <c r="B390" s="1" t="n">
        <v>45025</v>
      </c>
      <c r="C390" s="1" t="n">
        <v>45695</v>
      </c>
      <c r="D390" t="inlineStr">
        <is>
          <t>SÖDERMANLANDS LÄN</t>
        </is>
      </c>
      <c r="E390" t="inlineStr">
        <is>
          <t>VINGÅKER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17520-2023</t>
        </is>
      </c>
      <c r="B391" s="1" t="n">
        <v>45034</v>
      </c>
      <c r="C391" s="1" t="n">
        <v>45695</v>
      </c>
      <c r="D391" t="inlineStr">
        <is>
          <t>SÖDERMANLANDS LÄN</t>
        </is>
      </c>
      <c r="E391" t="inlineStr">
        <is>
          <t>VINGÅKER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17656-2023</t>
        </is>
      </c>
      <c r="B392" s="1" t="n">
        <v>45036</v>
      </c>
      <c r="C392" s="1" t="n">
        <v>45695</v>
      </c>
      <c r="D392" t="inlineStr">
        <is>
          <t>SÖDERMANLANDS LÄN</t>
        </is>
      </c>
      <c r="E392" t="inlineStr">
        <is>
          <t>VINGÅKER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17739-2023</t>
        </is>
      </c>
      <c r="B393" s="1" t="n">
        <v>45037</v>
      </c>
      <c r="C393" s="1" t="n">
        <v>45695</v>
      </c>
      <c r="D393" t="inlineStr">
        <is>
          <t>SÖDERMANLANDS LÄN</t>
        </is>
      </c>
      <c r="E393" t="inlineStr">
        <is>
          <t>VINGÅKER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18182-2023</t>
        </is>
      </c>
      <c r="B394" s="1" t="n">
        <v>45041</v>
      </c>
      <c r="C394" s="1" t="n">
        <v>45695</v>
      </c>
      <c r="D394" t="inlineStr">
        <is>
          <t>SÖDERMANLANDS LÄN</t>
        </is>
      </c>
      <c r="E394" t="inlineStr">
        <is>
          <t>VINGÅKER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19746-2023</t>
        </is>
      </c>
      <c r="B395" s="1" t="n">
        <v>45051</v>
      </c>
      <c r="C395" s="1" t="n">
        <v>45695</v>
      </c>
      <c r="D395" t="inlineStr">
        <is>
          <t>SÖDERMANLANDS LÄN</t>
        </is>
      </c>
      <c r="E395" t="inlineStr">
        <is>
          <t>VINGÅKER</t>
        </is>
      </c>
      <c r="F395" t="inlineStr">
        <is>
          <t>Kommuner</t>
        </is>
      </c>
      <c r="G395" t="n">
        <v>4.5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20192-2023</t>
        </is>
      </c>
      <c r="B396" s="1" t="n">
        <v>45051</v>
      </c>
      <c r="C396" s="1" t="n">
        <v>45695</v>
      </c>
      <c r="D396" t="inlineStr">
        <is>
          <t>SÖDERMANLANDS LÄN</t>
        </is>
      </c>
      <c r="E396" t="inlineStr">
        <is>
          <t>VINGÅKER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20182-2023</t>
        </is>
      </c>
      <c r="B397" s="1" t="n">
        <v>45051</v>
      </c>
      <c r="C397" s="1" t="n">
        <v>45695</v>
      </c>
      <c r="D397" t="inlineStr">
        <is>
          <t>SÖDERMANLANDS LÄN</t>
        </is>
      </c>
      <c r="E397" t="inlineStr">
        <is>
          <t>VINGÅKER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20195-2023</t>
        </is>
      </c>
      <c r="B398" s="1" t="n">
        <v>45051</v>
      </c>
      <c r="C398" s="1" t="n">
        <v>45695</v>
      </c>
      <c r="D398" t="inlineStr">
        <is>
          <t>SÖDERMANLANDS LÄN</t>
        </is>
      </c>
      <c r="E398" t="inlineStr">
        <is>
          <t>VINGÅKER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19861-2023</t>
        </is>
      </c>
      <c r="B399" s="1" t="n">
        <v>45053</v>
      </c>
      <c r="C399" s="1" t="n">
        <v>45695</v>
      </c>
      <c r="D399" t="inlineStr">
        <is>
          <t>SÖDERMANLANDS LÄN</t>
        </is>
      </c>
      <c r="E399" t="inlineStr">
        <is>
          <t>VINGÅKER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19859-2023</t>
        </is>
      </c>
      <c r="B400" s="1" t="n">
        <v>45053</v>
      </c>
      <c r="C400" s="1" t="n">
        <v>45695</v>
      </c>
      <c r="D400" t="inlineStr">
        <is>
          <t>SÖDERMANLANDS LÄN</t>
        </is>
      </c>
      <c r="E400" t="inlineStr">
        <is>
          <t>VINGÅKER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19860-2023</t>
        </is>
      </c>
      <c r="B401" s="1" t="n">
        <v>45053</v>
      </c>
      <c r="C401" s="1" t="n">
        <v>45695</v>
      </c>
      <c r="D401" t="inlineStr">
        <is>
          <t>SÖDERMANLANDS LÄN</t>
        </is>
      </c>
      <c r="E401" t="inlineStr">
        <is>
          <t>VINGÅKER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20330-2023</t>
        </is>
      </c>
      <c r="B402" s="1" t="n">
        <v>45056</v>
      </c>
      <c r="C402" s="1" t="n">
        <v>45695</v>
      </c>
      <c r="D402" t="inlineStr">
        <is>
          <t>SÖDERMANLANDS LÄN</t>
        </is>
      </c>
      <c r="E402" t="inlineStr">
        <is>
          <t>VINGÅKER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20427-2023</t>
        </is>
      </c>
      <c r="B403" s="1" t="n">
        <v>45056</v>
      </c>
      <c r="C403" s="1" t="n">
        <v>45695</v>
      </c>
      <c r="D403" t="inlineStr">
        <is>
          <t>SÖDERMANLANDS LÄN</t>
        </is>
      </c>
      <c r="E403" t="inlineStr">
        <is>
          <t>VINGÅKER</t>
        </is>
      </c>
      <c r="G403" t="n">
        <v>2.3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22111-2023</t>
        </is>
      </c>
      <c r="B404" s="1" t="n">
        <v>45069</v>
      </c>
      <c r="C404" s="1" t="n">
        <v>45695</v>
      </c>
      <c r="D404" t="inlineStr">
        <is>
          <t>SÖDERMANLANDS LÄN</t>
        </is>
      </c>
      <c r="E404" t="inlineStr">
        <is>
          <t>VINGÅKER</t>
        </is>
      </c>
      <c r="G404" t="n">
        <v>4.3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22135-2023</t>
        </is>
      </c>
      <c r="B405" s="1" t="n">
        <v>45069</v>
      </c>
      <c r="C405" s="1" t="n">
        <v>45695</v>
      </c>
      <c r="D405" t="inlineStr">
        <is>
          <t>SÖDERMANLANDS LÄN</t>
        </is>
      </c>
      <c r="E405" t="inlineStr">
        <is>
          <t>VINGÅKER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22835-2023</t>
        </is>
      </c>
      <c r="B406" s="1" t="n">
        <v>45072</v>
      </c>
      <c r="C406" s="1" t="n">
        <v>45695</v>
      </c>
      <c r="D406" t="inlineStr">
        <is>
          <t>SÖDERMANLANDS LÄN</t>
        </is>
      </c>
      <c r="E406" t="inlineStr">
        <is>
          <t>VINGÅKER</t>
        </is>
      </c>
      <c r="F406" t="inlineStr">
        <is>
          <t>Sveaskog</t>
        </is>
      </c>
      <c r="G406" t="n">
        <v>2.1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22839-2023</t>
        </is>
      </c>
      <c r="B407" s="1" t="n">
        <v>45072</v>
      </c>
      <c r="C407" s="1" t="n">
        <v>45695</v>
      </c>
      <c r="D407" t="inlineStr">
        <is>
          <t>SÖDERMANLANDS LÄN</t>
        </is>
      </c>
      <c r="E407" t="inlineStr">
        <is>
          <t>VINGÅKER</t>
        </is>
      </c>
      <c r="F407" t="inlineStr">
        <is>
          <t>Sveaskog</t>
        </is>
      </c>
      <c r="G407" t="n">
        <v>3.8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23415-2023</t>
        </is>
      </c>
      <c r="B408" s="1" t="n">
        <v>45076</v>
      </c>
      <c r="C408" s="1" t="n">
        <v>45695</v>
      </c>
      <c r="D408" t="inlineStr">
        <is>
          <t>SÖDERMANLANDS LÄN</t>
        </is>
      </c>
      <c r="E408" t="inlineStr">
        <is>
          <t>VINGÅKER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23429-2023</t>
        </is>
      </c>
      <c r="B409" s="1" t="n">
        <v>45076</v>
      </c>
      <c r="C409" s="1" t="n">
        <v>45695</v>
      </c>
      <c r="D409" t="inlineStr">
        <is>
          <t>SÖDERMANLANDS LÄN</t>
        </is>
      </c>
      <c r="E409" t="inlineStr">
        <is>
          <t>VINGÅKER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24401-2023</t>
        </is>
      </c>
      <c r="B410" s="1" t="n">
        <v>45076</v>
      </c>
      <c r="C410" s="1" t="n">
        <v>45695</v>
      </c>
      <c r="D410" t="inlineStr">
        <is>
          <t>SÖDERMANLANDS LÄN</t>
        </is>
      </c>
      <c r="E410" t="inlineStr">
        <is>
          <t>VINGÅKER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24382-2023</t>
        </is>
      </c>
      <c r="B411" s="1" t="n">
        <v>45076</v>
      </c>
      <c r="C411" s="1" t="n">
        <v>45695</v>
      </c>
      <c r="D411" t="inlineStr">
        <is>
          <t>SÖDERMANLANDS LÄN</t>
        </is>
      </c>
      <c r="E411" t="inlineStr">
        <is>
          <t>VINGÅKER</t>
        </is>
      </c>
      <c r="G411" t="n">
        <v>3.4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24414-2023</t>
        </is>
      </c>
      <c r="B412" s="1" t="n">
        <v>45076</v>
      </c>
      <c r="C412" s="1" t="n">
        <v>45695</v>
      </c>
      <c r="D412" t="inlineStr">
        <is>
          <t>SÖDERMANLANDS LÄN</t>
        </is>
      </c>
      <c r="E412" t="inlineStr">
        <is>
          <t>VINGÅKER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24405-2023</t>
        </is>
      </c>
      <c r="B413" s="1" t="n">
        <v>45076</v>
      </c>
      <c r="C413" s="1" t="n">
        <v>45695</v>
      </c>
      <c r="D413" t="inlineStr">
        <is>
          <t>SÖDERMANLANDS LÄN</t>
        </is>
      </c>
      <c r="E413" t="inlineStr">
        <is>
          <t>VINGÅKER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24097-2023</t>
        </is>
      </c>
      <c r="B414" s="1" t="n">
        <v>45079</v>
      </c>
      <c r="C414" s="1" t="n">
        <v>45695</v>
      </c>
      <c r="D414" t="inlineStr">
        <is>
          <t>SÖDERMANLANDS LÄN</t>
        </is>
      </c>
      <c r="E414" t="inlineStr">
        <is>
          <t>VINGÅKER</t>
        </is>
      </c>
      <c r="F414" t="inlineStr">
        <is>
          <t>Övriga Aktiebolag</t>
        </is>
      </c>
      <c r="G414" t="n">
        <v>3.5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25524-2023</t>
        </is>
      </c>
      <c r="B415" s="1" t="n">
        <v>45089</v>
      </c>
      <c r="C415" s="1" t="n">
        <v>45695</v>
      </c>
      <c r="D415" t="inlineStr">
        <is>
          <t>SÖDERMANLANDS LÄN</t>
        </is>
      </c>
      <c r="E415" t="inlineStr">
        <is>
          <t>VINGÅKER</t>
        </is>
      </c>
      <c r="F415" t="inlineStr">
        <is>
          <t>Övriga Aktiebolag</t>
        </is>
      </c>
      <c r="G415" t="n">
        <v>9.1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27207-2023</t>
        </is>
      </c>
      <c r="B416" s="1" t="n">
        <v>45096</v>
      </c>
      <c r="C416" s="1" t="n">
        <v>45695</v>
      </c>
      <c r="D416" t="inlineStr">
        <is>
          <t>SÖDERMANLANDS LÄN</t>
        </is>
      </c>
      <c r="E416" t="inlineStr">
        <is>
          <t>VINGÅKER</t>
        </is>
      </c>
      <c r="F416" t="inlineStr">
        <is>
          <t>Sveaskog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27235-2023</t>
        </is>
      </c>
      <c r="B417" s="1" t="n">
        <v>45096</v>
      </c>
      <c r="C417" s="1" t="n">
        <v>45695</v>
      </c>
      <c r="D417" t="inlineStr">
        <is>
          <t>SÖDERMANLANDS LÄN</t>
        </is>
      </c>
      <c r="E417" t="inlineStr">
        <is>
          <t>VINGÅKER</t>
        </is>
      </c>
      <c r="F417" t="inlineStr">
        <is>
          <t>Sveaskog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27205-2023</t>
        </is>
      </c>
      <c r="B418" s="1" t="n">
        <v>45096</v>
      </c>
      <c r="C418" s="1" t="n">
        <v>45695</v>
      </c>
      <c r="D418" t="inlineStr">
        <is>
          <t>SÖDERMANLANDS LÄN</t>
        </is>
      </c>
      <c r="E418" t="inlineStr">
        <is>
          <t>VINGÅKER</t>
        </is>
      </c>
      <c r="F418" t="inlineStr">
        <is>
          <t>Sveaskog</t>
        </is>
      </c>
      <c r="G418" t="n">
        <v>2.6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27237-2023</t>
        </is>
      </c>
      <c r="B419" s="1" t="n">
        <v>45096</v>
      </c>
      <c r="C419" s="1" t="n">
        <v>45695</v>
      </c>
      <c r="D419" t="inlineStr">
        <is>
          <t>SÖDERMANLANDS LÄN</t>
        </is>
      </c>
      <c r="E419" t="inlineStr">
        <is>
          <t>VINGÅKER</t>
        </is>
      </c>
      <c r="F419" t="inlineStr">
        <is>
          <t>Sveaskog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27238-2023</t>
        </is>
      </c>
      <c r="B420" s="1" t="n">
        <v>45096</v>
      </c>
      <c r="C420" s="1" t="n">
        <v>45695</v>
      </c>
      <c r="D420" t="inlineStr">
        <is>
          <t>SÖDERMANLANDS LÄN</t>
        </is>
      </c>
      <c r="E420" t="inlineStr">
        <is>
          <t>VINGÅKER</t>
        </is>
      </c>
      <c r="F420" t="inlineStr">
        <is>
          <t>Sveaskog</t>
        </is>
      </c>
      <c r="G420" t="n">
        <v>2.5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27208-2023</t>
        </is>
      </c>
      <c r="B421" s="1" t="n">
        <v>45096</v>
      </c>
      <c r="C421" s="1" t="n">
        <v>45695</v>
      </c>
      <c r="D421" t="inlineStr">
        <is>
          <t>SÖDERMANLANDS LÄN</t>
        </is>
      </c>
      <c r="E421" t="inlineStr">
        <is>
          <t>VINGÅKER</t>
        </is>
      </c>
      <c r="F421" t="inlineStr">
        <is>
          <t>Sveaskog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27993-2023</t>
        </is>
      </c>
      <c r="B422" s="1" t="n">
        <v>45098</v>
      </c>
      <c r="C422" s="1" t="n">
        <v>45695</v>
      </c>
      <c r="D422" t="inlineStr">
        <is>
          <t>SÖDERMANLANDS LÄN</t>
        </is>
      </c>
      <c r="E422" t="inlineStr">
        <is>
          <t>VINGÅKER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28551-2023</t>
        </is>
      </c>
      <c r="B423" s="1" t="n">
        <v>45103</v>
      </c>
      <c r="C423" s="1" t="n">
        <v>45695</v>
      </c>
      <c r="D423" t="inlineStr">
        <is>
          <t>SÖDERMANLANDS LÄN</t>
        </is>
      </c>
      <c r="E423" t="inlineStr">
        <is>
          <t>VINGÅKER</t>
        </is>
      </c>
      <c r="F423" t="inlineStr">
        <is>
          <t>Sveaskog</t>
        </is>
      </c>
      <c r="G423" t="n">
        <v>4.5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28553-2023</t>
        </is>
      </c>
      <c r="B424" s="1" t="n">
        <v>45103</v>
      </c>
      <c r="C424" s="1" t="n">
        <v>45695</v>
      </c>
      <c r="D424" t="inlineStr">
        <is>
          <t>SÖDERMANLANDS LÄN</t>
        </is>
      </c>
      <c r="E424" t="inlineStr">
        <is>
          <t>VINGÅKER</t>
        </is>
      </c>
      <c r="F424" t="inlineStr">
        <is>
          <t>Sveaskog</t>
        </is>
      </c>
      <c r="G424" t="n">
        <v>16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32054-2023</t>
        </is>
      </c>
      <c r="B425" s="1" t="n">
        <v>45107</v>
      </c>
      <c r="C425" s="1" t="n">
        <v>45695</v>
      </c>
      <c r="D425" t="inlineStr">
        <is>
          <t>SÖDERMANLANDS LÄN</t>
        </is>
      </c>
      <c r="E425" t="inlineStr">
        <is>
          <t>VINGÅKER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32266-2023</t>
        </is>
      </c>
      <c r="B426" s="1" t="n">
        <v>45109</v>
      </c>
      <c r="C426" s="1" t="n">
        <v>45695</v>
      </c>
      <c r="D426" t="inlineStr">
        <is>
          <t>SÖDERMANLANDS LÄN</t>
        </is>
      </c>
      <c r="E426" t="inlineStr">
        <is>
          <t>VINGÅKER</t>
        </is>
      </c>
      <c r="G426" t="n">
        <v>9.800000000000001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32273-2023</t>
        </is>
      </c>
      <c r="B427" s="1" t="n">
        <v>45109</v>
      </c>
      <c r="C427" s="1" t="n">
        <v>45695</v>
      </c>
      <c r="D427" t="inlineStr">
        <is>
          <t>SÖDERMANLANDS LÄN</t>
        </is>
      </c>
      <c r="E427" t="inlineStr">
        <is>
          <t>VINGÅKER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32522-2023</t>
        </is>
      </c>
      <c r="B428" s="1" t="n">
        <v>45110</v>
      </c>
      <c r="C428" s="1" t="n">
        <v>45695</v>
      </c>
      <c r="D428" t="inlineStr">
        <is>
          <t>SÖDERMANLANDS LÄN</t>
        </is>
      </c>
      <c r="E428" t="inlineStr">
        <is>
          <t>VINGÅKER</t>
        </is>
      </c>
      <c r="G428" t="n">
        <v>2.3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32512-2023</t>
        </is>
      </c>
      <c r="B429" s="1" t="n">
        <v>45110</v>
      </c>
      <c r="C429" s="1" t="n">
        <v>45695</v>
      </c>
      <c r="D429" t="inlineStr">
        <is>
          <t>SÖDERMANLANDS LÄN</t>
        </is>
      </c>
      <c r="E429" t="inlineStr">
        <is>
          <t>VINGÅKER</t>
        </is>
      </c>
      <c r="G429" t="n">
        <v>3.7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32325-2023</t>
        </is>
      </c>
      <c r="B430" s="1" t="n">
        <v>45120</v>
      </c>
      <c r="C430" s="1" t="n">
        <v>45695</v>
      </c>
      <c r="D430" t="inlineStr">
        <is>
          <t>SÖDERMANLANDS LÄN</t>
        </is>
      </c>
      <c r="E430" t="inlineStr">
        <is>
          <t>VINGÅKER</t>
        </is>
      </c>
      <c r="F430" t="inlineStr">
        <is>
          <t>Sveaskog</t>
        </is>
      </c>
      <c r="G430" t="n">
        <v>2.3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32410-2023</t>
        </is>
      </c>
      <c r="B431" s="1" t="n">
        <v>45120</v>
      </c>
      <c r="C431" s="1" t="n">
        <v>45695</v>
      </c>
      <c r="D431" t="inlineStr">
        <is>
          <t>SÖDERMANLANDS LÄN</t>
        </is>
      </c>
      <c r="E431" t="inlineStr">
        <is>
          <t>VINGÅKER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32316-2023</t>
        </is>
      </c>
      <c r="B432" s="1" t="n">
        <v>45120</v>
      </c>
      <c r="C432" s="1" t="n">
        <v>45695</v>
      </c>
      <c r="D432" t="inlineStr">
        <is>
          <t>SÖDERMANLANDS LÄN</t>
        </is>
      </c>
      <c r="E432" t="inlineStr">
        <is>
          <t>VINGÅKER</t>
        </is>
      </c>
      <c r="F432" t="inlineStr">
        <is>
          <t>Sveaskog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33836-2023</t>
        </is>
      </c>
      <c r="B433" s="1" t="n">
        <v>45133</v>
      </c>
      <c r="C433" s="1" t="n">
        <v>45695</v>
      </c>
      <c r="D433" t="inlineStr">
        <is>
          <t>SÖDERMANLANDS LÄN</t>
        </is>
      </c>
      <c r="E433" t="inlineStr">
        <is>
          <t>VINGÅKER</t>
        </is>
      </c>
      <c r="G433" t="n">
        <v>2.4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34537-2023</t>
        </is>
      </c>
      <c r="B434" s="1" t="n">
        <v>45134</v>
      </c>
      <c r="C434" s="1" t="n">
        <v>45695</v>
      </c>
      <c r="D434" t="inlineStr">
        <is>
          <t>SÖDERMANLANDS LÄN</t>
        </is>
      </c>
      <c r="E434" t="inlineStr">
        <is>
          <t>VINGÅKER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34019-2023</t>
        </is>
      </c>
      <c r="B435" s="1" t="n">
        <v>45135</v>
      </c>
      <c r="C435" s="1" t="n">
        <v>45695</v>
      </c>
      <c r="D435" t="inlineStr">
        <is>
          <t>SÖDERMANLANDS LÄN</t>
        </is>
      </c>
      <c r="E435" t="inlineStr">
        <is>
          <t>VINGÅKER</t>
        </is>
      </c>
      <c r="F435" t="inlineStr">
        <is>
          <t>Övriga Aktiebolag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36649-2023</t>
        </is>
      </c>
      <c r="B436" s="1" t="n">
        <v>45153</v>
      </c>
      <c r="C436" s="1" t="n">
        <v>45695</v>
      </c>
      <c r="D436" t="inlineStr">
        <is>
          <t>SÖDERMANLANDS LÄN</t>
        </is>
      </c>
      <c r="E436" t="inlineStr">
        <is>
          <t>VINGÅKER</t>
        </is>
      </c>
      <c r="G436" t="n">
        <v>0.3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36626-2023</t>
        </is>
      </c>
      <c r="B437" s="1" t="n">
        <v>45153</v>
      </c>
      <c r="C437" s="1" t="n">
        <v>45695</v>
      </c>
      <c r="D437" t="inlineStr">
        <is>
          <t>SÖDERMANLANDS LÄN</t>
        </is>
      </c>
      <c r="E437" t="inlineStr">
        <is>
          <t>VINGÅKER</t>
        </is>
      </c>
      <c r="G437" t="n">
        <v>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37323-2023</t>
        </is>
      </c>
      <c r="B438" s="1" t="n">
        <v>45156</v>
      </c>
      <c r="C438" s="1" t="n">
        <v>45695</v>
      </c>
      <c r="D438" t="inlineStr">
        <is>
          <t>SÖDERMANLANDS LÄN</t>
        </is>
      </c>
      <c r="E438" t="inlineStr">
        <is>
          <t>VINGÅKER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37835-2023</t>
        </is>
      </c>
      <c r="B439" s="1" t="n">
        <v>45156</v>
      </c>
      <c r="C439" s="1" t="n">
        <v>45695</v>
      </c>
      <c r="D439" t="inlineStr">
        <is>
          <t>SÖDERMANLANDS LÄN</t>
        </is>
      </c>
      <c r="E439" t="inlineStr">
        <is>
          <t>VINGÅKER</t>
        </is>
      </c>
      <c r="G439" t="n">
        <v>3.3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41326-2023</t>
        </is>
      </c>
      <c r="B440" s="1" t="n">
        <v>45174</v>
      </c>
      <c r="C440" s="1" t="n">
        <v>45695</v>
      </c>
      <c r="D440" t="inlineStr">
        <is>
          <t>SÖDERMANLANDS LÄN</t>
        </is>
      </c>
      <c r="E440" t="inlineStr">
        <is>
          <t>VINGÅKER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41870-2023</t>
        </is>
      </c>
      <c r="B441" s="1" t="n">
        <v>45174</v>
      </c>
      <c r="C441" s="1" t="n">
        <v>45695</v>
      </c>
      <c r="D441" t="inlineStr">
        <is>
          <t>SÖDERMANLANDS LÄN</t>
        </is>
      </c>
      <c r="E441" t="inlineStr">
        <is>
          <t>VINGÅKER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41441-2023</t>
        </is>
      </c>
      <c r="B442" s="1" t="n">
        <v>45175</v>
      </c>
      <c r="C442" s="1" t="n">
        <v>45695</v>
      </c>
      <c r="D442" t="inlineStr">
        <is>
          <t>SÖDERMANLANDS LÄN</t>
        </is>
      </c>
      <c r="E442" t="inlineStr">
        <is>
          <t>VINGÅKER</t>
        </is>
      </c>
      <c r="G442" t="n">
        <v>10.9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42084-2023</t>
        </is>
      </c>
      <c r="B443" s="1" t="n">
        <v>45175</v>
      </c>
      <c r="C443" s="1" t="n">
        <v>45695</v>
      </c>
      <c r="D443" t="inlineStr">
        <is>
          <t>SÖDERMANLANDS LÄN</t>
        </is>
      </c>
      <c r="E443" t="inlineStr">
        <is>
          <t>VINGÅKER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42550-2023</t>
        </is>
      </c>
      <c r="B444" s="1" t="n">
        <v>45181</v>
      </c>
      <c r="C444" s="1" t="n">
        <v>45695</v>
      </c>
      <c r="D444" t="inlineStr">
        <is>
          <t>SÖDERMANLANDS LÄN</t>
        </is>
      </c>
      <c r="E444" t="inlineStr">
        <is>
          <t>VINGÅKER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42564-2023</t>
        </is>
      </c>
      <c r="B445" s="1" t="n">
        <v>45181</v>
      </c>
      <c r="C445" s="1" t="n">
        <v>45695</v>
      </c>
      <c r="D445" t="inlineStr">
        <is>
          <t>SÖDERMANLANDS LÄN</t>
        </is>
      </c>
      <c r="E445" t="inlineStr">
        <is>
          <t>VINGÅKER</t>
        </is>
      </c>
      <c r="G445" t="n">
        <v>5.8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42558-2023</t>
        </is>
      </c>
      <c r="B446" s="1" t="n">
        <v>45181</v>
      </c>
      <c r="C446" s="1" t="n">
        <v>45695</v>
      </c>
      <c r="D446" t="inlineStr">
        <is>
          <t>SÖDERMANLANDS LÄN</t>
        </is>
      </c>
      <c r="E446" t="inlineStr">
        <is>
          <t>VINGÅKER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42566-2023</t>
        </is>
      </c>
      <c r="B447" s="1" t="n">
        <v>45181</v>
      </c>
      <c r="C447" s="1" t="n">
        <v>45695</v>
      </c>
      <c r="D447" t="inlineStr">
        <is>
          <t>SÖDERMANLANDS LÄN</t>
        </is>
      </c>
      <c r="E447" t="inlineStr">
        <is>
          <t>VINGÅKER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44598-2023</t>
        </is>
      </c>
      <c r="B448" s="1" t="n">
        <v>45184</v>
      </c>
      <c r="C448" s="1" t="n">
        <v>45695</v>
      </c>
      <c r="D448" t="inlineStr">
        <is>
          <t>SÖDERMANLANDS LÄN</t>
        </is>
      </c>
      <c r="E448" t="inlineStr">
        <is>
          <t>VINGÅKER</t>
        </is>
      </c>
      <c r="G448" t="n">
        <v>1.6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44607-2023</t>
        </is>
      </c>
      <c r="B449" s="1" t="n">
        <v>45184</v>
      </c>
      <c r="C449" s="1" t="n">
        <v>45695</v>
      </c>
      <c r="D449" t="inlineStr">
        <is>
          <t>SÖDERMANLANDS LÄN</t>
        </is>
      </c>
      <c r="E449" t="inlineStr">
        <is>
          <t>VINGÅKER</t>
        </is>
      </c>
      <c r="F449" t="inlineStr">
        <is>
          <t>Kommuner</t>
        </is>
      </c>
      <c r="G449" t="n">
        <v>2.6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44023-2023</t>
        </is>
      </c>
      <c r="B450" s="1" t="n">
        <v>45188</v>
      </c>
      <c r="C450" s="1" t="n">
        <v>45695</v>
      </c>
      <c r="D450" t="inlineStr">
        <is>
          <t>SÖDERMANLANDS LÄN</t>
        </is>
      </c>
      <c r="E450" t="inlineStr">
        <is>
          <t>VINGÅKER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44014-2023</t>
        </is>
      </c>
      <c r="B451" s="1" t="n">
        <v>45188</v>
      </c>
      <c r="C451" s="1" t="n">
        <v>45695</v>
      </c>
      <c r="D451" t="inlineStr">
        <is>
          <t>SÖDERMANLANDS LÄN</t>
        </is>
      </c>
      <c r="E451" t="inlineStr">
        <is>
          <t>VINGÅKER</t>
        </is>
      </c>
      <c r="G451" t="n">
        <v>2.3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45160-2023</t>
        </is>
      </c>
      <c r="B452" s="1" t="n">
        <v>45191</v>
      </c>
      <c r="C452" s="1" t="n">
        <v>45695</v>
      </c>
      <c r="D452" t="inlineStr">
        <is>
          <t>SÖDERMANLANDS LÄN</t>
        </is>
      </c>
      <c r="E452" t="inlineStr">
        <is>
          <t>VINGÅKER</t>
        </is>
      </c>
      <c r="G452" t="n">
        <v>2.9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45115-2023</t>
        </is>
      </c>
      <c r="B453" s="1" t="n">
        <v>45191</v>
      </c>
      <c r="C453" s="1" t="n">
        <v>45695</v>
      </c>
      <c r="D453" t="inlineStr">
        <is>
          <t>SÖDERMANLANDS LÄN</t>
        </is>
      </c>
      <c r="E453" t="inlineStr">
        <is>
          <t>VINGÅKER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45133-2023</t>
        </is>
      </c>
      <c r="B454" s="1" t="n">
        <v>45191</v>
      </c>
      <c r="C454" s="1" t="n">
        <v>45695</v>
      </c>
      <c r="D454" t="inlineStr">
        <is>
          <t>SÖDERMANLANDS LÄN</t>
        </is>
      </c>
      <c r="E454" t="inlineStr">
        <is>
          <t>VINGÅKER</t>
        </is>
      </c>
      <c r="G454" t="n">
        <v>2.5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45149-2023</t>
        </is>
      </c>
      <c r="B455" s="1" t="n">
        <v>45191</v>
      </c>
      <c r="C455" s="1" t="n">
        <v>45695</v>
      </c>
      <c r="D455" t="inlineStr">
        <is>
          <t>SÖDERMANLANDS LÄN</t>
        </is>
      </c>
      <c r="E455" t="inlineStr">
        <is>
          <t>VINGÅKER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45162-2023</t>
        </is>
      </c>
      <c r="B456" s="1" t="n">
        <v>45191</v>
      </c>
      <c r="C456" s="1" t="n">
        <v>45695</v>
      </c>
      <c r="D456" t="inlineStr">
        <is>
          <t>SÖDERMANLANDS LÄN</t>
        </is>
      </c>
      <c r="E456" t="inlineStr">
        <is>
          <t>VINGÅKER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46420-2023</t>
        </is>
      </c>
      <c r="B457" s="1" t="n">
        <v>45194</v>
      </c>
      <c r="C457" s="1" t="n">
        <v>45695</v>
      </c>
      <c r="D457" t="inlineStr">
        <is>
          <t>SÖDERMANLANDS LÄN</t>
        </is>
      </c>
      <c r="E457" t="inlineStr">
        <is>
          <t>VINGÅKER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45881-2023</t>
        </is>
      </c>
      <c r="B458" s="1" t="n">
        <v>45195</v>
      </c>
      <c r="C458" s="1" t="n">
        <v>45695</v>
      </c>
      <c r="D458" t="inlineStr">
        <is>
          <t>SÖDERMANLANDS LÄN</t>
        </is>
      </c>
      <c r="E458" t="inlineStr">
        <is>
          <t>VINGÅKER</t>
        </is>
      </c>
      <c r="G458" t="n">
        <v>3.8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45792-2023</t>
        </is>
      </c>
      <c r="B459" s="1" t="n">
        <v>45195</v>
      </c>
      <c r="C459" s="1" t="n">
        <v>45695</v>
      </c>
      <c r="D459" t="inlineStr">
        <is>
          <t>SÖDERMANLANDS LÄN</t>
        </is>
      </c>
      <c r="E459" t="inlineStr">
        <is>
          <t>VINGÅKER</t>
        </is>
      </c>
      <c r="F459" t="inlineStr">
        <is>
          <t>Kommuner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46052-2023</t>
        </is>
      </c>
      <c r="B460" s="1" t="n">
        <v>45196</v>
      </c>
      <c r="C460" s="1" t="n">
        <v>45695</v>
      </c>
      <c r="D460" t="inlineStr">
        <is>
          <t>SÖDERMANLANDS LÄN</t>
        </is>
      </c>
      <c r="E460" t="inlineStr">
        <is>
          <t>VINGÅKER</t>
        </is>
      </c>
      <c r="G460" t="n">
        <v>3.3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46159-2023</t>
        </is>
      </c>
      <c r="B461" s="1" t="n">
        <v>45196</v>
      </c>
      <c r="C461" s="1" t="n">
        <v>45695</v>
      </c>
      <c r="D461" t="inlineStr">
        <is>
          <t>SÖDERMANLANDS LÄN</t>
        </is>
      </c>
      <c r="E461" t="inlineStr">
        <is>
          <t>VINGÅKER</t>
        </is>
      </c>
      <c r="G461" t="n">
        <v>9.300000000000001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46358-2023</t>
        </is>
      </c>
      <c r="B462" s="1" t="n">
        <v>45197</v>
      </c>
      <c r="C462" s="1" t="n">
        <v>45695</v>
      </c>
      <c r="D462" t="inlineStr">
        <is>
          <t>SÖDERMANLANDS LÄN</t>
        </is>
      </c>
      <c r="E462" t="inlineStr">
        <is>
          <t>VINGÅKER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47761-2023</t>
        </is>
      </c>
      <c r="B463" s="1" t="n">
        <v>45203</v>
      </c>
      <c r="C463" s="1" t="n">
        <v>45695</v>
      </c>
      <c r="D463" t="inlineStr">
        <is>
          <t>SÖDERMANLANDS LÄN</t>
        </is>
      </c>
      <c r="E463" t="inlineStr">
        <is>
          <t>VINGÅKER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47763-2023</t>
        </is>
      </c>
      <c r="B464" s="1" t="n">
        <v>45203</v>
      </c>
      <c r="C464" s="1" t="n">
        <v>45695</v>
      </c>
      <c r="D464" t="inlineStr">
        <is>
          <t>SÖDERMANLANDS LÄN</t>
        </is>
      </c>
      <c r="E464" t="inlineStr">
        <is>
          <t>VINGÅKER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48036-2023</t>
        </is>
      </c>
      <c r="B465" s="1" t="n">
        <v>45204</v>
      </c>
      <c r="C465" s="1" t="n">
        <v>45695</v>
      </c>
      <c r="D465" t="inlineStr">
        <is>
          <t>SÖDERMANLANDS LÄN</t>
        </is>
      </c>
      <c r="E465" t="inlineStr">
        <is>
          <t>VINGÅKER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48792-2023</t>
        </is>
      </c>
      <c r="B466" s="1" t="n">
        <v>45209</v>
      </c>
      <c r="C466" s="1" t="n">
        <v>45695</v>
      </c>
      <c r="D466" t="inlineStr">
        <is>
          <t>SÖDERMANLANDS LÄN</t>
        </is>
      </c>
      <c r="E466" t="inlineStr">
        <is>
          <t>VINGÅKER</t>
        </is>
      </c>
      <c r="G466" t="n">
        <v>2.2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50751-2023</t>
        </is>
      </c>
      <c r="B467" s="1" t="n">
        <v>45210</v>
      </c>
      <c r="C467" s="1" t="n">
        <v>45695</v>
      </c>
      <c r="D467" t="inlineStr">
        <is>
          <t>SÖDERMANLANDS LÄN</t>
        </is>
      </c>
      <c r="E467" t="inlineStr">
        <is>
          <t>VINGÅKER</t>
        </is>
      </c>
      <c r="G467" t="n">
        <v>5.7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50756-2023</t>
        </is>
      </c>
      <c r="B468" s="1" t="n">
        <v>45210</v>
      </c>
      <c r="C468" s="1" t="n">
        <v>45695</v>
      </c>
      <c r="D468" t="inlineStr">
        <is>
          <t>SÖDERMANLANDS LÄN</t>
        </is>
      </c>
      <c r="E468" t="inlineStr">
        <is>
          <t>VINGÅKER</t>
        </is>
      </c>
      <c r="G468" t="n">
        <v>3.2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54285-2023</t>
        </is>
      </c>
      <c r="B469" s="1" t="n">
        <v>45225</v>
      </c>
      <c r="C469" s="1" t="n">
        <v>45695</v>
      </c>
      <c r="D469" t="inlineStr">
        <is>
          <t>SÖDERMANLANDS LÄN</t>
        </is>
      </c>
      <c r="E469" t="inlineStr">
        <is>
          <t>VINGÅKER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54388-2023</t>
        </is>
      </c>
      <c r="B470" s="1" t="n">
        <v>45225</v>
      </c>
      <c r="C470" s="1" t="n">
        <v>45695</v>
      </c>
      <c r="D470" t="inlineStr">
        <is>
          <t>SÖDERMANLANDS LÄN</t>
        </is>
      </c>
      <c r="E470" t="inlineStr">
        <is>
          <t>VINGÅKER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54390-2023</t>
        </is>
      </c>
      <c r="B471" s="1" t="n">
        <v>45226</v>
      </c>
      <c r="C471" s="1" t="n">
        <v>45695</v>
      </c>
      <c r="D471" t="inlineStr">
        <is>
          <t>SÖDERMANLANDS LÄN</t>
        </is>
      </c>
      <c r="E471" t="inlineStr">
        <is>
          <t>VINGÅKER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53317-2023</t>
        </is>
      </c>
      <c r="B472" s="1" t="n">
        <v>45229</v>
      </c>
      <c r="C472" s="1" t="n">
        <v>45695</v>
      </c>
      <c r="D472" t="inlineStr">
        <is>
          <t>SÖDERMANLANDS LÄN</t>
        </is>
      </c>
      <c r="E472" t="inlineStr">
        <is>
          <t>VINGÅKER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53295-2023</t>
        </is>
      </c>
      <c r="B473" s="1" t="n">
        <v>45229</v>
      </c>
      <c r="C473" s="1" t="n">
        <v>45695</v>
      </c>
      <c r="D473" t="inlineStr">
        <is>
          <t>SÖDERMANLANDS LÄN</t>
        </is>
      </c>
      <c r="E473" t="inlineStr">
        <is>
          <t>VINGÅKER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53757-2023</t>
        </is>
      </c>
      <c r="B474" s="1" t="n">
        <v>45230</v>
      </c>
      <c r="C474" s="1" t="n">
        <v>45695</v>
      </c>
      <c r="D474" t="inlineStr">
        <is>
          <t>SÖDERMANLANDS LÄN</t>
        </is>
      </c>
      <c r="E474" t="inlineStr">
        <is>
          <t>VINGÅKER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55496-2023</t>
        </is>
      </c>
      <c r="B475" s="1" t="n">
        <v>45231</v>
      </c>
      <c r="C475" s="1" t="n">
        <v>45695</v>
      </c>
      <c r="D475" t="inlineStr">
        <is>
          <t>SÖDERMANLANDS LÄN</t>
        </is>
      </c>
      <c r="E475" t="inlineStr">
        <is>
          <t>VINGÅKER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54742-2023</t>
        </is>
      </c>
      <c r="B476" s="1" t="n">
        <v>45236</v>
      </c>
      <c r="C476" s="1" t="n">
        <v>45695</v>
      </c>
      <c r="D476" t="inlineStr">
        <is>
          <t>SÖDERMANLANDS LÄN</t>
        </is>
      </c>
      <c r="E476" t="inlineStr">
        <is>
          <t>VINGÅKER</t>
        </is>
      </c>
      <c r="G476" t="n">
        <v>3.4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54782-2023</t>
        </is>
      </c>
      <c r="B477" s="1" t="n">
        <v>45236</v>
      </c>
      <c r="C477" s="1" t="n">
        <v>45695</v>
      </c>
      <c r="D477" t="inlineStr">
        <is>
          <t>SÖDERMANLANDS LÄN</t>
        </is>
      </c>
      <c r="E477" t="inlineStr">
        <is>
          <t>VINGÅKER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54780-2023</t>
        </is>
      </c>
      <c r="B478" s="1" t="n">
        <v>45236</v>
      </c>
      <c r="C478" s="1" t="n">
        <v>45695</v>
      </c>
      <c r="D478" t="inlineStr">
        <is>
          <t>SÖDERMANLANDS LÄN</t>
        </is>
      </c>
      <c r="E478" t="inlineStr">
        <is>
          <t>VINGÅKER</t>
        </is>
      </c>
      <c r="G478" t="n">
        <v>3.2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55092-2023</t>
        </is>
      </c>
      <c r="B479" s="1" t="n">
        <v>45237</v>
      </c>
      <c r="C479" s="1" t="n">
        <v>45695</v>
      </c>
      <c r="D479" t="inlineStr">
        <is>
          <t>SÖDERMANLANDS LÄN</t>
        </is>
      </c>
      <c r="E479" t="inlineStr">
        <is>
          <t>VINGÅKER</t>
        </is>
      </c>
      <c r="G479" t="n">
        <v>4.6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55824-2023</t>
        </is>
      </c>
      <c r="B480" s="1" t="n">
        <v>45239</v>
      </c>
      <c r="C480" s="1" t="n">
        <v>45695</v>
      </c>
      <c r="D480" t="inlineStr">
        <is>
          <t>SÖDERMANLANDS LÄN</t>
        </is>
      </c>
      <c r="E480" t="inlineStr">
        <is>
          <t>VINGÅKER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55822-2023</t>
        </is>
      </c>
      <c r="B481" s="1" t="n">
        <v>45239</v>
      </c>
      <c r="C481" s="1" t="n">
        <v>45695</v>
      </c>
      <c r="D481" t="inlineStr">
        <is>
          <t>SÖDERMANLANDS LÄN</t>
        </is>
      </c>
      <c r="E481" t="inlineStr">
        <is>
          <t>VINGÅKER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  <c r="U481">
        <f>HYPERLINK("https://klasma.github.io/Logging_0428/knärot/A 55822-2023 karta knärot.png", "A 55822-2023")</f>
        <v/>
      </c>
      <c r="V481">
        <f>HYPERLINK("https://klasma.github.io/Logging_0428/klagomål/A 55822-2023 FSC-klagomål.docx", "A 55822-2023")</f>
        <v/>
      </c>
      <c r="W481">
        <f>HYPERLINK("https://klasma.github.io/Logging_0428/klagomålsmail/A 55822-2023 FSC-klagomål mail.docx", "A 55822-2023")</f>
        <v/>
      </c>
      <c r="X481">
        <f>HYPERLINK("https://klasma.github.io/Logging_0428/tillsyn/A 55822-2023 tillsynsbegäran.docx", "A 55822-2023")</f>
        <v/>
      </c>
      <c r="Y481">
        <f>HYPERLINK("https://klasma.github.io/Logging_0428/tillsynsmail/A 55822-2023 tillsynsbegäran mail.docx", "A 55822-2023")</f>
        <v/>
      </c>
    </row>
    <row r="482" ht="15" customHeight="1">
      <c r="A482" t="inlineStr">
        <is>
          <t>A 56627-2023</t>
        </is>
      </c>
      <c r="B482" s="1" t="n">
        <v>45243</v>
      </c>
      <c r="C482" s="1" t="n">
        <v>45695</v>
      </c>
      <c r="D482" t="inlineStr">
        <is>
          <t>SÖDERMANLANDS LÄN</t>
        </is>
      </c>
      <c r="E482" t="inlineStr">
        <is>
          <t>VINGÅKER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58805-2023</t>
        </is>
      </c>
      <c r="B483" s="1" t="n">
        <v>45247</v>
      </c>
      <c r="C483" s="1" t="n">
        <v>45695</v>
      </c>
      <c r="D483" t="inlineStr">
        <is>
          <t>SÖDERMANLANDS LÄN</t>
        </is>
      </c>
      <c r="E483" t="inlineStr">
        <is>
          <t>VINGÅKER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58807-2023</t>
        </is>
      </c>
      <c r="B484" s="1" t="n">
        <v>45247</v>
      </c>
      <c r="C484" s="1" t="n">
        <v>45695</v>
      </c>
      <c r="D484" t="inlineStr">
        <is>
          <t>SÖDERMANLANDS LÄN</t>
        </is>
      </c>
      <c r="E484" t="inlineStr">
        <is>
          <t>VINGÅKER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58806-2023</t>
        </is>
      </c>
      <c r="B485" s="1" t="n">
        <v>45247</v>
      </c>
      <c r="C485" s="1" t="n">
        <v>45695</v>
      </c>
      <c r="D485" t="inlineStr">
        <is>
          <t>SÖDERMANLANDS LÄN</t>
        </is>
      </c>
      <c r="E485" t="inlineStr">
        <is>
          <t>VINGÅKER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62091-2023</t>
        </is>
      </c>
      <c r="B486" s="1" t="n">
        <v>45266</v>
      </c>
      <c r="C486" s="1" t="n">
        <v>45695</v>
      </c>
      <c r="D486" t="inlineStr">
        <is>
          <t>SÖDERMANLANDS LÄN</t>
        </is>
      </c>
      <c r="E486" t="inlineStr">
        <is>
          <t>VINGÅKER</t>
        </is>
      </c>
      <c r="G486" t="n">
        <v>2.7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63614-2023</t>
        </is>
      </c>
      <c r="B487" s="1" t="n">
        <v>45275</v>
      </c>
      <c r="C487" s="1" t="n">
        <v>45695</v>
      </c>
      <c r="D487" t="inlineStr">
        <is>
          <t>SÖDERMANLANDS LÄN</t>
        </is>
      </c>
      <c r="E487" t="inlineStr">
        <is>
          <t>VINGÅKER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63584-2023</t>
        </is>
      </c>
      <c r="B488" s="1" t="n">
        <v>45275</v>
      </c>
      <c r="C488" s="1" t="n">
        <v>45695</v>
      </c>
      <c r="D488" t="inlineStr">
        <is>
          <t>SÖDERMANLANDS LÄN</t>
        </is>
      </c>
      <c r="E488" t="inlineStr">
        <is>
          <t>VINGÅKER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63764-2023</t>
        </is>
      </c>
      <c r="B489" s="1" t="n">
        <v>45278</v>
      </c>
      <c r="C489" s="1" t="n">
        <v>45695</v>
      </c>
      <c r="D489" t="inlineStr">
        <is>
          <t>SÖDERMANLANDS LÄN</t>
        </is>
      </c>
      <c r="E489" t="inlineStr">
        <is>
          <t>VINGÅKER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64770-2023</t>
        </is>
      </c>
      <c r="B490" s="1" t="n">
        <v>45281</v>
      </c>
      <c r="C490" s="1" t="n">
        <v>45695</v>
      </c>
      <c r="D490" t="inlineStr">
        <is>
          <t>SÖDERMANLANDS LÄN</t>
        </is>
      </c>
      <c r="E490" t="inlineStr">
        <is>
          <t>VINGÅKER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65066-2023</t>
        </is>
      </c>
      <c r="B491" s="1" t="n">
        <v>45285</v>
      </c>
      <c r="C491" s="1" t="n">
        <v>45695</v>
      </c>
      <c r="D491" t="inlineStr">
        <is>
          <t>SÖDERMANLANDS LÄN</t>
        </is>
      </c>
      <c r="E491" t="inlineStr">
        <is>
          <t>VINGÅKER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181-2024</t>
        </is>
      </c>
      <c r="B492" s="1" t="n">
        <v>45294</v>
      </c>
      <c r="C492" s="1" t="n">
        <v>45695</v>
      </c>
      <c r="D492" t="inlineStr">
        <is>
          <t>SÖDERMANLANDS LÄN</t>
        </is>
      </c>
      <c r="E492" t="inlineStr">
        <is>
          <t>VINGÅKER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192-2024</t>
        </is>
      </c>
      <c r="B493" s="1" t="n">
        <v>45294</v>
      </c>
      <c r="C493" s="1" t="n">
        <v>45695</v>
      </c>
      <c r="D493" t="inlineStr">
        <is>
          <t>SÖDERMANLANDS LÄN</t>
        </is>
      </c>
      <c r="E493" t="inlineStr">
        <is>
          <t>VINGÅKER</t>
        </is>
      </c>
      <c r="G493" t="n">
        <v>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465-2024</t>
        </is>
      </c>
      <c r="B494" s="1" t="n">
        <v>45297</v>
      </c>
      <c r="C494" s="1" t="n">
        <v>45695</v>
      </c>
      <c r="D494" t="inlineStr">
        <is>
          <t>SÖDERMANLANDS LÄN</t>
        </is>
      </c>
      <c r="E494" t="inlineStr">
        <is>
          <t>VINGÅKER</t>
        </is>
      </c>
      <c r="G494" t="n">
        <v>3.2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466-2024</t>
        </is>
      </c>
      <c r="B495" s="1" t="n">
        <v>45297</v>
      </c>
      <c r="C495" s="1" t="n">
        <v>45695</v>
      </c>
      <c r="D495" t="inlineStr">
        <is>
          <t>SÖDERMANLANDS LÄN</t>
        </is>
      </c>
      <c r="E495" t="inlineStr">
        <is>
          <t>VINGÅKER</t>
        </is>
      </c>
      <c r="G495" t="n">
        <v>2.9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1128-2024</t>
        </is>
      </c>
      <c r="B496" s="1" t="n">
        <v>45302</v>
      </c>
      <c r="C496" s="1" t="n">
        <v>45695</v>
      </c>
      <c r="D496" t="inlineStr">
        <is>
          <t>SÖDERMANLANDS LÄN</t>
        </is>
      </c>
      <c r="E496" t="inlineStr">
        <is>
          <t>VINGÅKER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1627-2024</t>
        </is>
      </c>
      <c r="B497" s="1" t="n">
        <v>45306</v>
      </c>
      <c r="C497" s="1" t="n">
        <v>45695</v>
      </c>
      <c r="D497" t="inlineStr">
        <is>
          <t>SÖDERMANLANDS LÄN</t>
        </is>
      </c>
      <c r="E497" t="inlineStr">
        <is>
          <t>VINGÅKER</t>
        </is>
      </c>
      <c r="G497" t="n">
        <v>2.7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1727-2024</t>
        </is>
      </c>
      <c r="B498" s="1" t="n">
        <v>45307</v>
      </c>
      <c r="C498" s="1" t="n">
        <v>45695</v>
      </c>
      <c r="D498" t="inlineStr">
        <is>
          <t>SÖDERMANLANDS LÄN</t>
        </is>
      </c>
      <c r="E498" t="inlineStr">
        <is>
          <t>VINGÅKER</t>
        </is>
      </c>
      <c r="F498" t="inlineStr">
        <is>
          <t>Kyrkan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2798-2024</t>
        </is>
      </c>
      <c r="B499" s="1" t="n">
        <v>45314</v>
      </c>
      <c r="C499" s="1" t="n">
        <v>45695</v>
      </c>
      <c r="D499" t="inlineStr">
        <is>
          <t>SÖDERMANLANDS LÄN</t>
        </is>
      </c>
      <c r="E499" t="inlineStr">
        <is>
          <t>VINGÅKER</t>
        </is>
      </c>
      <c r="G499" t="n">
        <v>5.7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2802-2024</t>
        </is>
      </c>
      <c r="B500" s="1" t="n">
        <v>45314</v>
      </c>
      <c r="C500" s="1" t="n">
        <v>45695</v>
      </c>
      <c r="D500" t="inlineStr">
        <is>
          <t>SÖDERMANLANDS LÄN</t>
        </is>
      </c>
      <c r="E500" t="inlineStr">
        <is>
          <t>VINGÅKER</t>
        </is>
      </c>
      <c r="G500" t="n">
        <v>3.1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3310-2024</t>
        </is>
      </c>
      <c r="B501" s="1" t="n">
        <v>45317</v>
      </c>
      <c r="C501" s="1" t="n">
        <v>45695</v>
      </c>
      <c r="D501" t="inlineStr">
        <is>
          <t>SÖDERMANLANDS LÄN</t>
        </is>
      </c>
      <c r="E501" t="inlineStr">
        <is>
          <t>VINGÅKER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3304-2024</t>
        </is>
      </c>
      <c r="B502" s="1" t="n">
        <v>45317</v>
      </c>
      <c r="C502" s="1" t="n">
        <v>45695</v>
      </c>
      <c r="D502" t="inlineStr">
        <is>
          <t>SÖDERMANLANDS LÄN</t>
        </is>
      </c>
      <c r="E502" t="inlineStr">
        <is>
          <t>VINGÅKER</t>
        </is>
      </c>
      <c r="G502" t="n">
        <v>2.6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3748-2024</t>
        </is>
      </c>
      <c r="B503" s="1" t="n">
        <v>45321</v>
      </c>
      <c r="C503" s="1" t="n">
        <v>45695</v>
      </c>
      <c r="D503" t="inlineStr">
        <is>
          <t>SÖDERMANLANDS LÄN</t>
        </is>
      </c>
      <c r="E503" t="inlineStr">
        <is>
          <t>VINGÅKER</t>
        </is>
      </c>
      <c r="G503" t="n">
        <v>3.1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7136-2024</t>
        </is>
      </c>
      <c r="B504" s="1" t="n">
        <v>45343</v>
      </c>
      <c r="C504" s="1" t="n">
        <v>45695</v>
      </c>
      <c r="D504" t="inlineStr">
        <is>
          <t>SÖDERMANLANDS LÄN</t>
        </is>
      </c>
      <c r="E504" t="inlineStr">
        <is>
          <t>VINGÅKER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7498-2024</t>
        </is>
      </c>
      <c r="B505" s="1" t="n">
        <v>45347</v>
      </c>
      <c r="C505" s="1" t="n">
        <v>45695</v>
      </c>
      <c r="D505" t="inlineStr">
        <is>
          <t>SÖDERMANLANDS LÄN</t>
        </is>
      </c>
      <c r="E505" t="inlineStr">
        <is>
          <t>VINGÅKER</t>
        </is>
      </c>
      <c r="G505" t="n">
        <v>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8385-2024</t>
        </is>
      </c>
      <c r="B506" s="1" t="n">
        <v>45352</v>
      </c>
      <c r="C506" s="1" t="n">
        <v>45695</v>
      </c>
      <c r="D506" t="inlineStr">
        <is>
          <t>SÖDERMANLANDS LÄN</t>
        </is>
      </c>
      <c r="E506" t="inlineStr">
        <is>
          <t>VINGÅKER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9682-2024</t>
        </is>
      </c>
      <c r="B507" s="1" t="n">
        <v>45362</v>
      </c>
      <c r="C507" s="1" t="n">
        <v>45695</v>
      </c>
      <c r="D507" t="inlineStr">
        <is>
          <t>SÖDERMANLANDS LÄN</t>
        </is>
      </c>
      <c r="E507" t="inlineStr">
        <is>
          <t>VINGÅKER</t>
        </is>
      </c>
      <c r="G507" t="n">
        <v>2.9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10334-2024</t>
        </is>
      </c>
      <c r="B508" s="1" t="n">
        <v>45365</v>
      </c>
      <c r="C508" s="1" t="n">
        <v>45695</v>
      </c>
      <c r="D508" t="inlineStr">
        <is>
          <t>SÖDERMANLANDS LÄN</t>
        </is>
      </c>
      <c r="E508" t="inlineStr">
        <is>
          <t>VINGÅKER</t>
        </is>
      </c>
      <c r="F508" t="inlineStr">
        <is>
          <t>Övriga Aktiebolag</t>
        </is>
      </c>
      <c r="G508" t="n">
        <v>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15184-2024</t>
        </is>
      </c>
      <c r="B509" s="1" t="n">
        <v>45400</v>
      </c>
      <c r="C509" s="1" t="n">
        <v>45695</v>
      </c>
      <c r="D509" t="inlineStr">
        <is>
          <t>SÖDERMANLANDS LÄN</t>
        </is>
      </c>
      <c r="E509" t="inlineStr">
        <is>
          <t>VINGÅKER</t>
        </is>
      </c>
      <c r="F509" t="inlineStr">
        <is>
          <t>Övriga Aktiebolag</t>
        </is>
      </c>
      <c r="G509" t="n">
        <v>5.5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17768-2024</t>
        </is>
      </c>
      <c r="B510" s="1" t="n">
        <v>45418</v>
      </c>
      <c r="C510" s="1" t="n">
        <v>45695</v>
      </c>
      <c r="D510" t="inlineStr">
        <is>
          <t>SÖDERMANLANDS LÄN</t>
        </is>
      </c>
      <c r="E510" t="inlineStr">
        <is>
          <t>VINGÅKER</t>
        </is>
      </c>
      <c r="G510" t="n">
        <v>5.4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18553-2024</t>
        </is>
      </c>
      <c r="B511" s="1" t="n">
        <v>45425</v>
      </c>
      <c r="C511" s="1" t="n">
        <v>45695</v>
      </c>
      <c r="D511" t="inlineStr">
        <is>
          <t>SÖDERMANLANDS LÄN</t>
        </is>
      </c>
      <c r="E511" t="inlineStr">
        <is>
          <t>VINGÅKER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18789-2024</t>
        </is>
      </c>
      <c r="B512" s="1" t="n">
        <v>45426</v>
      </c>
      <c r="C512" s="1" t="n">
        <v>45695</v>
      </c>
      <c r="D512" t="inlineStr">
        <is>
          <t>SÖDERMANLANDS LÄN</t>
        </is>
      </c>
      <c r="E512" t="inlineStr">
        <is>
          <t>VINGÅKER</t>
        </is>
      </c>
      <c r="G512" t="n">
        <v>4.9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19158-2024</t>
        </is>
      </c>
      <c r="B513" s="1" t="n">
        <v>45428</v>
      </c>
      <c r="C513" s="1" t="n">
        <v>45695</v>
      </c>
      <c r="D513" t="inlineStr">
        <is>
          <t>SÖDERMANLANDS LÄN</t>
        </is>
      </c>
      <c r="E513" t="inlineStr">
        <is>
          <t>VINGÅKER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19165-2024</t>
        </is>
      </c>
      <c r="B514" s="1" t="n">
        <v>45428</v>
      </c>
      <c r="C514" s="1" t="n">
        <v>45695</v>
      </c>
      <c r="D514" t="inlineStr">
        <is>
          <t>SÖDERMANLANDS LÄN</t>
        </is>
      </c>
      <c r="E514" t="inlineStr">
        <is>
          <t>VINGÅKER</t>
        </is>
      </c>
      <c r="G514" t="n">
        <v>3.7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19645-2024</t>
        </is>
      </c>
      <c r="B515" s="1" t="n">
        <v>45432</v>
      </c>
      <c r="C515" s="1" t="n">
        <v>45695</v>
      </c>
      <c r="D515" t="inlineStr">
        <is>
          <t>SÖDERMANLANDS LÄN</t>
        </is>
      </c>
      <c r="E515" t="inlineStr">
        <is>
          <t>VINGÅKER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19625-2024</t>
        </is>
      </c>
      <c r="B516" s="1" t="n">
        <v>45432</v>
      </c>
      <c r="C516" s="1" t="n">
        <v>45695</v>
      </c>
      <c r="D516" t="inlineStr">
        <is>
          <t>SÖDERMANLANDS LÄN</t>
        </is>
      </c>
      <c r="E516" t="inlineStr">
        <is>
          <t>VINGÅKER</t>
        </is>
      </c>
      <c r="G516" t="n">
        <v>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21160-2024</t>
        </is>
      </c>
      <c r="B517" s="1" t="n">
        <v>45440</v>
      </c>
      <c r="C517" s="1" t="n">
        <v>45695</v>
      </c>
      <c r="D517" t="inlineStr">
        <is>
          <t>SÖDERMANLANDS LÄN</t>
        </is>
      </c>
      <c r="E517" t="inlineStr">
        <is>
          <t>VINGÅKER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22864-2024</t>
        </is>
      </c>
      <c r="B518" s="1" t="n">
        <v>45448</v>
      </c>
      <c r="C518" s="1" t="n">
        <v>45695</v>
      </c>
      <c r="D518" t="inlineStr">
        <is>
          <t>SÖDERMANLANDS LÄN</t>
        </is>
      </c>
      <c r="E518" t="inlineStr">
        <is>
          <t>VINGÅKER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22866-2024</t>
        </is>
      </c>
      <c r="B519" s="1" t="n">
        <v>45448</v>
      </c>
      <c r="C519" s="1" t="n">
        <v>45695</v>
      </c>
      <c r="D519" t="inlineStr">
        <is>
          <t>SÖDERMANLANDS LÄN</t>
        </is>
      </c>
      <c r="E519" t="inlineStr">
        <is>
          <t>VINGÅKER</t>
        </is>
      </c>
      <c r="G519" t="n">
        <v>2.7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24456-2024</t>
        </is>
      </c>
      <c r="B520" s="1" t="n">
        <v>45457</v>
      </c>
      <c r="C520" s="1" t="n">
        <v>45695</v>
      </c>
      <c r="D520" t="inlineStr">
        <is>
          <t>SÖDERMANLANDS LÄN</t>
        </is>
      </c>
      <c r="E520" t="inlineStr">
        <is>
          <t>VINGÅKER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26622-2024</t>
        </is>
      </c>
      <c r="B521" s="1" t="n">
        <v>45469</v>
      </c>
      <c r="C521" s="1" t="n">
        <v>45695</v>
      </c>
      <c r="D521" t="inlineStr">
        <is>
          <t>SÖDERMANLANDS LÄN</t>
        </is>
      </c>
      <c r="E521" t="inlineStr">
        <is>
          <t>VINGÅKER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26625-2024</t>
        </is>
      </c>
      <c r="B522" s="1" t="n">
        <v>45469</v>
      </c>
      <c r="C522" s="1" t="n">
        <v>45695</v>
      </c>
      <c r="D522" t="inlineStr">
        <is>
          <t>SÖDERMANLANDS LÄN</t>
        </is>
      </c>
      <c r="E522" t="inlineStr">
        <is>
          <t>VINGÅKER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29490-2024</t>
        </is>
      </c>
      <c r="B523" s="1" t="n">
        <v>45483</v>
      </c>
      <c r="C523" s="1" t="n">
        <v>45695</v>
      </c>
      <c r="D523" t="inlineStr">
        <is>
          <t>SÖDERMANLANDS LÄN</t>
        </is>
      </c>
      <c r="E523" t="inlineStr">
        <is>
          <t>VINGÅKER</t>
        </is>
      </c>
      <c r="G523" t="n">
        <v>3.7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29800-2024</t>
        </is>
      </c>
      <c r="B524" s="1" t="n">
        <v>45485</v>
      </c>
      <c r="C524" s="1" t="n">
        <v>45695</v>
      </c>
      <c r="D524" t="inlineStr">
        <is>
          <t>SÖDERMANLANDS LÄN</t>
        </is>
      </c>
      <c r="E524" t="inlineStr">
        <is>
          <t>VINGÅKER</t>
        </is>
      </c>
      <c r="G524" t="n">
        <v>2.5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30931-2024</t>
        </is>
      </c>
      <c r="B525" s="1" t="n">
        <v>45498</v>
      </c>
      <c r="C525" s="1" t="n">
        <v>45695</v>
      </c>
      <c r="D525" t="inlineStr">
        <is>
          <t>SÖDERMANLANDS LÄN</t>
        </is>
      </c>
      <c r="E525" t="inlineStr">
        <is>
          <t>VINGÅKER</t>
        </is>
      </c>
      <c r="G525" t="n">
        <v>2.2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32771-2024</t>
        </is>
      </c>
      <c r="B526" s="1" t="n">
        <v>45515</v>
      </c>
      <c r="C526" s="1" t="n">
        <v>45695</v>
      </c>
      <c r="D526" t="inlineStr">
        <is>
          <t>SÖDERMANLANDS LÄN</t>
        </is>
      </c>
      <c r="E526" t="inlineStr">
        <is>
          <t>VINGÅKER</t>
        </is>
      </c>
      <c r="G526" t="n">
        <v>2.3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34441-2024</t>
        </is>
      </c>
      <c r="B527" s="1" t="n">
        <v>45525</v>
      </c>
      <c r="C527" s="1" t="n">
        <v>45695</v>
      </c>
      <c r="D527" t="inlineStr">
        <is>
          <t>SÖDERMANLANDS LÄN</t>
        </is>
      </c>
      <c r="E527" t="inlineStr">
        <is>
          <t>VINGÅKER</t>
        </is>
      </c>
      <c r="G527" t="n">
        <v>10.4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34450-2024</t>
        </is>
      </c>
      <c r="B528" s="1" t="n">
        <v>45525</v>
      </c>
      <c r="C528" s="1" t="n">
        <v>45695</v>
      </c>
      <c r="D528" t="inlineStr">
        <is>
          <t>SÖDERMANLANDS LÄN</t>
        </is>
      </c>
      <c r="E528" t="inlineStr">
        <is>
          <t>VINGÅKER</t>
        </is>
      </c>
      <c r="G528" t="n">
        <v>6.3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34454-2024</t>
        </is>
      </c>
      <c r="B529" s="1" t="n">
        <v>45525</v>
      </c>
      <c r="C529" s="1" t="n">
        <v>45695</v>
      </c>
      <c r="D529" t="inlineStr">
        <is>
          <t>SÖDERMANLANDS LÄN</t>
        </is>
      </c>
      <c r="E529" t="inlineStr">
        <is>
          <t>VINGÅKER</t>
        </is>
      </c>
      <c r="G529" t="n">
        <v>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34452-2024</t>
        </is>
      </c>
      <c r="B530" s="1" t="n">
        <v>45525</v>
      </c>
      <c r="C530" s="1" t="n">
        <v>45695</v>
      </c>
      <c r="D530" t="inlineStr">
        <is>
          <t>SÖDERMANLANDS LÄN</t>
        </is>
      </c>
      <c r="E530" t="inlineStr">
        <is>
          <t>VINGÅKER</t>
        </is>
      </c>
      <c r="G530" t="n">
        <v>3.7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35131-2024</t>
        </is>
      </c>
      <c r="B531" s="1" t="n">
        <v>45529</v>
      </c>
      <c r="C531" s="1" t="n">
        <v>45695</v>
      </c>
      <c r="D531" t="inlineStr">
        <is>
          <t>SÖDERMANLANDS LÄN</t>
        </is>
      </c>
      <c r="E531" t="inlineStr">
        <is>
          <t>VINGÅKER</t>
        </is>
      </c>
      <c r="G531" t="n">
        <v>6.3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37754-2024</t>
        </is>
      </c>
      <c r="B532" s="1" t="n">
        <v>45541</v>
      </c>
      <c r="C532" s="1" t="n">
        <v>45695</v>
      </c>
      <c r="D532" t="inlineStr">
        <is>
          <t>SÖDERMANLANDS LÄN</t>
        </is>
      </c>
      <c r="E532" t="inlineStr">
        <is>
          <t>VINGÅKER</t>
        </is>
      </c>
      <c r="G532" t="n">
        <v>5.4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37809-2024</t>
        </is>
      </c>
      <c r="B533" s="1" t="n">
        <v>45543</v>
      </c>
      <c r="C533" s="1" t="n">
        <v>45695</v>
      </c>
      <c r="D533" t="inlineStr">
        <is>
          <t>SÖDERMANLANDS LÄN</t>
        </is>
      </c>
      <c r="E533" t="inlineStr">
        <is>
          <t>VINGÅKER</t>
        </is>
      </c>
      <c r="G533" t="n">
        <v>2.5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39779-2024</t>
        </is>
      </c>
      <c r="B534" s="1" t="n">
        <v>45552</v>
      </c>
      <c r="C534" s="1" t="n">
        <v>45695</v>
      </c>
      <c r="D534" t="inlineStr">
        <is>
          <t>SÖDERMANLANDS LÄN</t>
        </is>
      </c>
      <c r="E534" t="inlineStr">
        <is>
          <t>VINGÅKER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41953-2024</t>
        </is>
      </c>
      <c r="B535" s="1" t="n">
        <v>45561</v>
      </c>
      <c r="C535" s="1" t="n">
        <v>45695</v>
      </c>
      <c r="D535" t="inlineStr">
        <is>
          <t>SÖDERMANLANDS LÄN</t>
        </is>
      </c>
      <c r="E535" t="inlineStr">
        <is>
          <t>VINGÅKER</t>
        </is>
      </c>
      <c r="G535" t="n">
        <v>16.5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43255-2024</t>
        </is>
      </c>
      <c r="B536" s="1" t="n">
        <v>45567</v>
      </c>
      <c r="C536" s="1" t="n">
        <v>45695</v>
      </c>
      <c r="D536" t="inlineStr">
        <is>
          <t>SÖDERMANLANDS LÄN</t>
        </is>
      </c>
      <c r="E536" t="inlineStr">
        <is>
          <t>VINGÅKER</t>
        </is>
      </c>
      <c r="G536" t="n">
        <v>9.300000000000001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45426-2024</t>
        </is>
      </c>
      <c r="B537" s="1" t="n">
        <v>45576</v>
      </c>
      <c r="C537" s="1" t="n">
        <v>45695</v>
      </c>
      <c r="D537" t="inlineStr">
        <is>
          <t>SÖDERMANLANDS LÄN</t>
        </is>
      </c>
      <c r="E537" t="inlineStr">
        <is>
          <t>VINGÅKER</t>
        </is>
      </c>
      <c r="G537" t="n">
        <v>1.8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45422-2024</t>
        </is>
      </c>
      <c r="B538" s="1" t="n">
        <v>45576</v>
      </c>
      <c r="C538" s="1" t="n">
        <v>45695</v>
      </c>
      <c r="D538" t="inlineStr">
        <is>
          <t>SÖDERMANLANDS LÄN</t>
        </is>
      </c>
      <c r="E538" t="inlineStr">
        <is>
          <t>VINGÅKER</t>
        </is>
      </c>
      <c r="G538" t="n">
        <v>17.1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45425-2024</t>
        </is>
      </c>
      <c r="B539" s="1" t="n">
        <v>45576</v>
      </c>
      <c r="C539" s="1" t="n">
        <v>45695</v>
      </c>
      <c r="D539" t="inlineStr">
        <is>
          <t>SÖDERMANLANDS LÄN</t>
        </is>
      </c>
      <c r="E539" t="inlineStr">
        <is>
          <t>VINGÅKER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45419-2024</t>
        </is>
      </c>
      <c r="B540" s="1" t="n">
        <v>45576</v>
      </c>
      <c r="C540" s="1" t="n">
        <v>45695</v>
      </c>
      <c r="D540" t="inlineStr">
        <is>
          <t>SÖDERMANLANDS LÄN</t>
        </is>
      </c>
      <c r="E540" t="inlineStr">
        <is>
          <t>VINGÅKER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46218-2024</t>
        </is>
      </c>
      <c r="B541" s="1" t="n">
        <v>45581</v>
      </c>
      <c r="C541" s="1" t="n">
        <v>45695</v>
      </c>
      <c r="D541" t="inlineStr">
        <is>
          <t>SÖDERMANLANDS LÄN</t>
        </is>
      </c>
      <c r="E541" t="inlineStr">
        <is>
          <t>VINGÅKER</t>
        </is>
      </c>
      <c r="F541" t="inlineStr">
        <is>
          <t>Övriga Aktiebolag</t>
        </is>
      </c>
      <c r="G541" t="n">
        <v>7.8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46464-2024</t>
        </is>
      </c>
      <c r="B542" s="1" t="n">
        <v>45582</v>
      </c>
      <c r="C542" s="1" t="n">
        <v>45695</v>
      </c>
      <c r="D542" t="inlineStr">
        <is>
          <t>SÖDERMANLANDS LÄN</t>
        </is>
      </c>
      <c r="E542" t="inlineStr">
        <is>
          <t>VINGÅKER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47211-2024</t>
        </is>
      </c>
      <c r="B543" s="1" t="n">
        <v>45586</v>
      </c>
      <c r="C543" s="1" t="n">
        <v>45695</v>
      </c>
      <c r="D543" t="inlineStr">
        <is>
          <t>SÖDERMANLANDS LÄN</t>
        </is>
      </c>
      <c r="E543" t="inlineStr">
        <is>
          <t>VINGÅKER</t>
        </is>
      </c>
      <c r="G543" t="n">
        <v>4.7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47585-2024</t>
        </is>
      </c>
      <c r="B544" s="1" t="n">
        <v>45587</v>
      </c>
      <c r="C544" s="1" t="n">
        <v>45695</v>
      </c>
      <c r="D544" t="inlineStr">
        <is>
          <t>SÖDERMANLANDS LÄN</t>
        </is>
      </c>
      <c r="E544" t="inlineStr">
        <is>
          <t>VINGÅKER</t>
        </is>
      </c>
      <c r="G544" t="n">
        <v>2.4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48875-2024</t>
        </is>
      </c>
      <c r="B545" s="1" t="n">
        <v>45594</v>
      </c>
      <c r="C545" s="1" t="n">
        <v>45695</v>
      </c>
      <c r="D545" t="inlineStr">
        <is>
          <t>SÖDERMANLANDS LÄN</t>
        </is>
      </c>
      <c r="E545" t="inlineStr">
        <is>
          <t>VINGÅKER</t>
        </is>
      </c>
      <c r="F545" t="inlineStr">
        <is>
          <t>Övriga Aktiebolag</t>
        </is>
      </c>
      <c r="G545" t="n">
        <v>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49153-2024</t>
        </is>
      </c>
      <c r="B546" s="1" t="n">
        <v>45594</v>
      </c>
      <c r="C546" s="1" t="n">
        <v>45695</v>
      </c>
      <c r="D546" t="inlineStr">
        <is>
          <t>SÖDERMANLANDS LÄN</t>
        </is>
      </c>
      <c r="E546" t="inlineStr">
        <is>
          <t>VINGÅKER</t>
        </is>
      </c>
      <c r="G546" t="n">
        <v>2.2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50099-2024</t>
        </is>
      </c>
      <c r="B547" s="1" t="n">
        <v>45597</v>
      </c>
      <c r="C547" s="1" t="n">
        <v>45695</v>
      </c>
      <c r="D547" t="inlineStr">
        <is>
          <t>SÖDERMANLANDS LÄN</t>
        </is>
      </c>
      <c r="E547" t="inlineStr">
        <is>
          <t>VINGÅKER</t>
        </is>
      </c>
      <c r="G547" t="n">
        <v>4.1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50100-2024</t>
        </is>
      </c>
      <c r="B548" s="1" t="n">
        <v>45598</v>
      </c>
      <c r="C548" s="1" t="n">
        <v>45695</v>
      </c>
      <c r="D548" t="inlineStr">
        <is>
          <t>SÖDERMANLANDS LÄN</t>
        </is>
      </c>
      <c r="E548" t="inlineStr">
        <is>
          <t>VINGÅKER</t>
        </is>
      </c>
      <c r="G548" t="n">
        <v>1.8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51630-2024</t>
        </is>
      </c>
      <c r="B549" s="1" t="n">
        <v>45605</v>
      </c>
      <c r="C549" s="1" t="n">
        <v>45695</v>
      </c>
      <c r="D549" t="inlineStr">
        <is>
          <t>SÖDERMANLANDS LÄN</t>
        </is>
      </c>
      <c r="E549" t="inlineStr">
        <is>
          <t>VINGÅKER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54051-2024</t>
        </is>
      </c>
      <c r="B550" s="1" t="n">
        <v>45615</v>
      </c>
      <c r="C550" s="1" t="n">
        <v>45695</v>
      </c>
      <c r="D550" t="inlineStr">
        <is>
          <t>SÖDERMANLANDS LÄN</t>
        </is>
      </c>
      <c r="E550" t="inlineStr">
        <is>
          <t>VINGÅKER</t>
        </is>
      </c>
      <c r="G550" t="n">
        <v>8.9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55988-2024</t>
        </is>
      </c>
      <c r="B551" s="1" t="n">
        <v>45623</v>
      </c>
      <c r="C551" s="1" t="n">
        <v>45695</v>
      </c>
      <c r="D551" t="inlineStr">
        <is>
          <t>SÖDERMANLANDS LÄN</t>
        </is>
      </c>
      <c r="E551" t="inlineStr">
        <is>
          <t>VINGÅKER</t>
        </is>
      </c>
      <c r="G551" t="n">
        <v>2.4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55994-2024</t>
        </is>
      </c>
      <c r="B552" s="1" t="n">
        <v>45623</v>
      </c>
      <c r="C552" s="1" t="n">
        <v>45695</v>
      </c>
      <c r="D552" t="inlineStr">
        <is>
          <t>SÖDERMANLANDS LÄN</t>
        </is>
      </c>
      <c r="E552" t="inlineStr">
        <is>
          <t>VINGÅKER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55991-2024</t>
        </is>
      </c>
      <c r="B553" s="1" t="n">
        <v>45623</v>
      </c>
      <c r="C553" s="1" t="n">
        <v>45695</v>
      </c>
      <c r="D553" t="inlineStr">
        <is>
          <t>SÖDERMANLANDS LÄN</t>
        </is>
      </c>
      <c r="E553" t="inlineStr">
        <is>
          <t>VINGÅKER</t>
        </is>
      </c>
      <c r="G553" t="n">
        <v>2.5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56680-2024</t>
        </is>
      </c>
      <c r="B554" s="1" t="n">
        <v>45627</v>
      </c>
      <c r="C554" s="1" t="n">
        <v>45695</v>
      </c>
      <c r="D554" t="inlineStr">
        <is>
          <t>SÖDERMANLANDS LÄN</t>
        </is>
      </c>
      <c r="E554" t="inlineStr">
        <is>
          <t>VINGÅKER</t>
        </is>
      </c>
      <c r="G554" t="n">
        <v>4.7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56953-2024</t>
        </is>
      </c>
      <c r="B555" s="1" t="n">
        <v>45628</v>
      </c>
      <c r="C555" s="1" t="n">
        <v>45695</v>
      </c>
      <c r="D555" t="inlineStr">
        <is>
          <t>SÖDERMANLANDS LÄN</t>
        </is>
      </c>
      <c r="E555" t="inlineStr">
        <is>
          <t>VINGÅKER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56954-2024</t>
        </is>
      </c>
      <c r="B556" s="1" t="n">
        <v>45628</v>
      </c>
      <c r="C556" s="1" t="n">
        <v>45695</v>
      </c>
      <c r="D556" t="inlineStr">
        <is>
          <t>SÖDERMANLANDS LÄN</t>
        </is>
      </c>
      <c r="E556" t="inlineStr">
        <is>
          <t>VINGÅKER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56970-2024</t>
        </is>
      </c>
      <c r="B557" s="1" t="n">
        <v>45628</v>
      </c>
      <c r="C557" s="1" t="n">
        <v>45695</v>
      </c>
      <c r="D557" t="inlineStr">
        <is>
          <t>SÖDERMANLANDS LÄN</t>
        </is>
      </c>
      <c r="E557" t="inlineStr">
        <is>
          <t>VINGÅKER</t>
        </is>
      </c>
      <c r="G557" t="n">
        <v>6.4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57608-2024</t>
        </is>
      </c>
      <c r="B558" s="1" t="n">
        <v>45630</v>
      </c>
      <c r="C558" s="1" t="n">
        <v>45695</v>
      </c>
      <c r="D558" t="inlineStr">
        <is>
          <t>SÖDERMANLANDS LÄN</t>
        </is>
      </c>
      <c r="E558" t="inlineStr">
        <is>
          <t>VINGÅKER</t>
        </is>
      </c>
      <c r="G558" t="n">
        <v>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58766-2024</t>
        </is>
      </c>
      <c r="B559" s="1" t="n">
        <v>45635</v>
      </c>
      <c r="C559" s="1" t="n">
        <v>45695</v>
      </c>
      <c r="D559" t="inlineStr">
        <is>
          <t>SÖDERMANLANDS LÄN</t>
        </is>
      </c>
      <c r="E559" t="inlineStr">
        <is>
          <t>VINGÅKER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59042-2024</t>
        </is>
      </c>
      <c r="B560" s="1" t="n">
        <v>45636</v>
      </c>
      <c r="C560" s="1" t="n">
        <v>45695</v>
      </c>
      <c r="D560" t="inlineStr">
        <is>
          <t>SÖDERMANLANDS LÄN</t>
        </is>
      </c>
      <c r="E560" t="inlineStr">
        <is>
          <t>VINGÅKER</t>
        </is>
      </c>
      <c r="G560" t="n">
        <v>2.1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58908-2024</t>
        </is>
      </c>
      <c r="B561" s="1" t="n">
        <v>45636</v>
      </c>
      <c r="C561" s="1" t="n">
        <v>45695</v>
      </c>
      <c r="D561" t="inlineStr">
        <is>
          <t>SÖDERMANLANDS LÄN</t>
        </is>
      </c>
      <c r="E561" t="inlineStr">
        <is>
          <t>VINGÅKER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58887-2024</t>
        </is>
      </c>
      <c r="B562" s="1" t="n">
        <v>45636</v>
      </c>
      <c r="C562" s="1" t="n">
        <v>45695</v>
      </c>
      <c r="D562" t="inlineStr">
        <is>
          <t>SÖDERMANLANDS LÄN</t>
        </is>
      </c>
      <c r="E562" t="inlineStr">
        <is>
          <t>VINGÅKER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58865-2024</t>
        </is>
      </c>
      <c r="B563" s="1" t="n">
        <v>45636</v>
      </c>
      <c r="C563" s="1" t="n">
        <v>45695</v>
      </c>
      <c r="D563" t="inlineStr">
        <is>
          <t>SÖDERMANLANDS LÄN</t>
        </is>
      </c>
      <c r="E563" t="inlineStr">
        <is>
          <t>VINGÅKER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58893-2024</t>
        </is>
      </c>
      <c r="B564" s="1" t="n">
        <v>45636</v>
      </c>
      <c r="C564" s="1" t="n">
        <v>45695</v>
      </c>
      <c r="D564" t="inlineStr">
        <is>
          <t>SÖDERMANLANDS LÄN</t>
        </is>
      </c>
      <c r="E564" t="inlineStr">
        <is>
          <t>VINGÅKER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>
      <c r="A565" t="inlineStr">
        <is>
          <t>A 5468-2025</t>
        </is>
      </c>
      <c r="B565" s="1" t="n">
        <v>45693</v>
      </c>
      <c r="C565" s="1" t="n">
        <v>45695</v>
      </c>
      <c r="D565" t="inlineStr">
        <is>
          <t>SÖDERMANLANDS LÄN</t>
        </is>
      </c>
      <c r="E565" t="inlineStr">
        <is>
          <t>VINGÅKER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2025-02-07T16:11:12Z</dcterms:created>
  <dcterms:modified xmlns:dcterms="http://purl.org/dc/terms/" xmlns:xsi="http://www.w3.org/2001/XMLSchema-instance" xsi:type="dcterms:W3CDTF">2025-02-07T16:11:12Z</dcterms:modified>
</cp:coreProperties>
</file>