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46200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46200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46200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Hällebräcka
Gullpudra
Gulsparv
Buskskvätta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46200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s="1" t="n">
        <v>44938</v>
      </c>
      <c r="C6" s="1" t="n">
        <v>46200</v>
      </c>
      <c r="D6" t="inlineStr">
        <is>
          <t>SÖDERMANLANDS LÄN</t>
        </is>
      </c>
      <c r="E6" t="inlineStr">
        <is>
          <t>VINGÅKER</t>
        </is>
      </c>
      <c r="G6" t="n">
        <v>1.3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Jungfrulin
Vanlig backsmörblomma
Gullviva</t>
        </is>
      </c>
      <c r="S6">
        <f>HYPERLINK("https://klasma.github.io/Logging_0428/artfynd/A 1826-2023 artfynd.xlsx", "A 1826-2023")</f>
        <v/>
      </c>
      <c r="T6">
        <f>HYPERLINK("https://klasma.github.io/Logging_0428/kartor/A 1826-2023 karta.png", "A 1826-2023")</f>
        <v/>
      </c>
      <c r="V6">
        <f>HYPERLINK("https://klasma.github.io/Logging_0428/klagomål/A 1826-2023 FSC-klagomål.docx", "A 1826-2023")</f>
        <v/>
      </c>
      <c r="W6">
        <f>HYPERLINK("https://klasma.github.io/Logging_0428/klagomålsmail/A 1826-2023 FSC-klagomål mail.docx", "A 1826-2023")</f>
        <v/>
      </c>
      <c r="X6">
        <f>HYPERLINK("https://klasma.github.io/Logging_0428/tillsyn/A 1826-2023 tillsynsbegäran.docx", "A 1826-2023")</f>
        <v/>
      </c>
      <c r="Y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s="1" t="n">
        <v>44762</v>
      </c>
      <c r="C7" s="1" t="n">
        <v>46200</v>
      </c>
      <c r="D7" t="inlineStr">
        <is>
          <t>SÖDERMANLANDS LÄN</t>
        </is>
      </c>
      <c r="E7" t="inlineStr">
        <is>
          <t>VINGÅKER</t>
        </is>
      </c>
      <c r="F7" t="inlineStr">
        <is>
          <t>Övriga Aktiebolag</t>
        </is>
      </c>
      <c r="G7" t="n">
        <v>10.5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Igelkott
Skogsknipprot
Blåsippa</t>
        </is>
      </c>
      <c r="S7">
        <f>HYPERLINK("https://klasma.github.io/Logging_0428/artfynd/A 30575-2022 artfynd.xlsx", "A 30575-2022")</f>
        <v/>
      </c>
      <c r="T7">
        <f>HYPERLINK("https://klasma.github.io/Logging_0428/kartor/A 30575-2022 karta.png", "A 30575-2022")</f>
        <v/>
      </c>
      <c r="V7">
        <f>HYPERLINK("https://klasma.github.io/Logging_0428/klagomål/A 30575-2022 FSC-klagomål.docx", "A 30575-2022")</f>
        <v/>
      </c>
      <c r="W7">
        <f>HYPERLINK("https://klasma.github.io/Logging_0428/klagomålsmail/A 30575-2022 FSC-klagomål mail.docx", "A 30575-2022")</f>
        <v/>
      </c>
      <c r="X7">
        <f>HYPERLINK("https://klasma.github.io/Logging_0428/tillsyn/A 30575-2022 tillsynsbegäran.docx", "A 30575-2022")</f>
        <v/>
      </c>
      <c r="Y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s="1" t="n">
        <v>46077</v>
      </c>
      <c r="C8" s="1" t="n">
        <v>46200</v>
      </c>
      <c r="D8" t="inlineStr">
        <is>
          <t>SÖDERMANLANDS LÄN</t>
        </is>
      </c>
      <c r="E8" t="inlineStr">
        <is>
          <t>VINGÅKER</t>
        </is>
      </c>
      <c r="G8" t="n">
        <v>2.5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Ekticka
Rödvingetrast
Spillkråka</t>
        </is>
      </c>
      <c r="S8">
        <f>HYPERLINK("https://klasma.github.io/Logging_0428/artfynd/A 10541-2026 artfynd.xlsx", "A 10541-2026")</f>
        <v/>
      </c>
      <c r="T8">
        <f>HYPERLINK("https://klasma.github.io/Logging_0428/kartor/A 10541-2026 karta.png", "A 10541-2026")</f>
        <v/>
      </c>
      <c r="V8">
        <f>HYPERLINK("https://klasma.github.io/Logging_0428/klagomål/A 10541-2026 FSC-klagomål.docx", "A 10541-2026")</f>
        <v/>
      </c>
      <c r="W8">
        <f>HYPERLINK("https://klasma.github.io/Logging_0428/klagomålsmail/A 10541-2026 FSC-klagomål mail.docx", "A 10541-2026")</f>
        <v/>
      </c>
      <c r="X8">
        <f>HYPERLINK("https://klasma.github.io/Logging_0428/tillsyn/A 10541-2026 tillsynsbegäran.docx", "A 10541-2026")</f>
        <v/>
      </c>
      <c r="Y8">
        <f>HYPERLINK("https://klasma.github.io/Logging_0428/tillsynsmail/A 10541-2026 tillsynsbegäran mail.docx", "A 10541-2026")</f>
        <v/>
      </c>
      <c r="Z8">
        <f>HYPERLINK("https://klasma.github.io/Logging_0428/fåglar/A 10541-2026 prioriterade fågelarter.docx", "A 10541-2026")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46200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46200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46200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59810-2025</t>
        </is>
      </c>
      <c r="B12" s="1" t="n">
        <v>45992</v>
      </c>
      <c r="C12" s="1" t="n">
        <v>46200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46200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</v>
      </c>
      <c r="C14" s="1" t="n">
        <v>46200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46200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46200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46200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46200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46200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46200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54980-2021</t>
        </is>
      </c>
      <c r="B21" s="1" t="n">
        <v>44474</v>
      </c>
      <c r="C21" s="1" t="n">
        <v>46200</v>
      </c>
      <c r="D21" t="inlineStr">
        <is>
          <t>SÖDERMANLANDS LÄN</t>
        </is>
      </c>
      <c r="E21" t="inlineStr">
        <is>
          <t>VINGÅKER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7739-2022</t>
        </is>
      </c>
      <c r="B22" s="1" t="n">
        <v>44608</v>
      </c>
      <c r="C22" s="1" t="n">
        <v>46200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46200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46200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49267-2021</t>
        </is>
      </c>
      <c r="B25" s="1" t="n">
        <v>44454</v>
      </c>
      <c r="C25" s="1" t="n">
        <v>46200</v>
      </c>
      <c r="D25" t="inlineStr">
        <is>
          <t>SÖDERMANLANDS LÄN</t>
        </is>
      </c>
      <c r="E25" t="inlineStr">
        <is>
          <t>VINGÅKER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41920-2021</t>
        </is>
      </c>
      <c r="B26" s="1" t="n">
        <v>44425</v>
      </c>
      <c r="C26" s="1" t="n">
        <v>46200</v>
      </c>
      <c r="D26" t="inlineStr">
        <is>
          <t>SÖDERMANLANDS LÄN</t>
        </is>
      </c>
      <c r="E26" t="inlineStr">
        <is>
          <t>VINGÅKER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46200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7742-2022</t>
        </is>
      </c>
      <c r="B28" s="1" t="n">
        <v>44608</v>
      </c>
      <c r="C28" s="1" t="n">
        <v>46200</v>
      </c>
      <c r="D28" t="inlineStr">
        <is>
          <t>SÖDERMANLANDS LÄN</t>
        </is>
      </c>
      <c r="E28" t="inlineStr">
        <is>
          <t>VINGÅKER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64406-2021</t>
        </is>
      </c>
      <c r="B29" s="1" t="n">
        <v>44511</v>
      </c>
      <c r="C29" s="1" t="n">
        <v>46200</v>
      </c>
      <c r="D29" t="inlineStr">
        <is>
          <t>SÖDERMANLANDS LÄN</t>
        </is>
      </c>
      <c r="E29" t="inlineStr">
        <is>
          <t>VINGÅKER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46200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42161-2022</t>
        </is>
      </c>
      <c r="B31" s="1" t="n">
        <v>44830</v>
      </c>
      <c r="C31" s="1" t="n">
        <v>46200</v>
      </c>
      <c r="D31" t="inlineStr">
        <is>
          <t>SÖDERMANLANDS LÄN</t>
        </is>
      </c>
      <c r="E31" t="inlineStr">
        <is>
          <t>VINGÅKER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46200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</v>
      </c>
      <c r="C33" s="1" t="n">
        <v>46200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51891-2022</t>
        </is>
      </c>
      <c r="B34" s="1" t="n">
        <v>44867</v>
      </c>
      <c r="C34" s="1" t="n">
        <v>46200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46200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46200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46200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46200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46200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46200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12856-2022</t>
        </is>
      </c>
      <c r="B41" s="1" t="n">
        <v>44642</v>
      </c>
      <c r="C41" s="1" t="n">
        <v>46200</v>
      </c>
      <c r="D41" t="inlineStr">
        <is>
          <t>SÖDERMANLANDS LÄN</t>
        </is>
      </c>
      <c r="E41" t="inlineStr">
        <is>
          <t>VINGÅKER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29366-2022</t>
        </is>
      </c>
      <c r="B42" s="1" t="n">
        <v>44752</v>
      </c>
      <c r="C42" s="1" t="n">
        <v>46200</v>
      </c>
      <c r="D42" t="inlineStr">
        <is>
          <t>SÖDERMANLANDS LÄN</t>
        </is>
      </c>
      <c r="E42" t="inlineStr">
        <is>
          <t>VINGÅKER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55450-2021</t>
        </is>
      </c>
      <c r="B43" s="1" t="n">
        <v>44475</v>
      </c>
      <c r="C43" s="1" t="n">
        <v>46200</v>
      </c>
      <c r="D43" t="inlineStr">
        <is>
          <t>SÖDERMANLANDS LÄN</t>
        </is>
      </c>
      <c r="E43" t="inlineStr">
        <is>
          <t>VINGÅKER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26244-2022</t>
        </is>
      </c>
      <c r="B44" s="1" t="n">
        <v>44735</v>
      </c>
      <c r="C44" s="1" t="n">
        <v>46200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53384-2022</t>
        </is>
      </c>
      <c r="B45" s="1" t="n">
        <v>44879</v>
      </c>
      <c r="C45" s="1" t="n">
        <v>46200</v>
      </c>
      <c r="D45" t="inlineStr">
        <is>
          <t>SÖDERMANLANDS LÄN</t>
        </is>
      </c>
      <c r="E45" t="inlineStr">
        <is>
          <t>VINGÅKER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56633-2021</t>
        </is>
      </c>
      <c r="B46" s="1" t="n">
        <v>44480</v>
      </c>
      <c r="C46" s="1" t="n">
        <v>46200</v>
      </c>
      <c r="D46" t="inlineStr">
        <is>
          <t>SÖDERMANLANDS LÄN</t>
        </is>
      </c>
      <c r="E46" t="inlineStr">
        <is>
          <t>VINGÅKER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17628-2022</t>
        </is>
      </c>
      <c r="B47" s="1" t="n">
        <v>44680</v>
      </c>
      <c r="C47" s="1" t="n">
        <v>46200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26086-2022</t>
        </is>
      </c>
      <c r="B48" s="1" t="n">
        <v>44734</v>
      </c>
      <c r="C48" s="1" t="n">
        <v>46200</v>
      </c>
      <c r="D48" t="inlineStr">
        <is>
          <t>SÖDERMANLANDS LÄN</t>
        </is>
      </c>
      <c r="E48" t="inlineStr">
        <is>
          <t>VINGÅKER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14522-2022</t>
        </is>
      </c>
      <c r="B49" s="1" t="n">
        <v>44655</v>
      </c>
      <c r="C49" s="1" t="n">
        <v>46200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19165-2024</t>
        </is>
      </c>
      <c r="B50" s="1" t="n">
        <v>45428</v>
      </c>
      <c r="C50" s="1" t="n">
        <v>46200</v>
      </c>
      <c r="D50" t="inlineStr">
        <is>
          <t>SÖDERMANLANDS LÄN</t>
        </is>
      </c>
      <c r="E50" t="inlineStr">
        <is>
          <t>VINGÅKER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1128-2024</t>
        </is>
      </c>
      <c r="B51" s="1" t="n">
        <v>45302</v>
      </c>
      <c r="C51" s="1" t="n">
        <v>46200</v>
      </c>
      <c r="D51" t="inlineStr">
        <is>
          <t>SÖDERMANLANDS LÄN</t>
        </is>
      </c>
      <c r="E51" t="inlineStr">
        <is>
          <t>VINGÅKER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42084-2023</t>
        </is>
      </c>
      <c r="B52" s="1" t="n">
        <v>45175</v>
      </c>
      <c r="C52" s="1" t="n">
        <v>46200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42146-2022</t>
        </is>
      </c>
      <c r="B53" s="1" t="n">
        <v>44830</v>
      </c>
      <c r="C53" s="1" t="n">
        <v>46200</v>
      </c>
      <c r="D53" t="inlineStr">
        <is>
          <t>SÖDERMANLANDS LÄN</t>
        </is>
      </c>
      <c r="E53" t="inlineStr">
        <is>
          <t>VINGÅKER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17169-2025</t>
        </is>
      </c>
      <c r="B54" s="1" t="n">
        <v>45755</v>
      </c>
      <c r="C54" s="1" t="n">
        <v>46200</v>
      </c>
      <c r="D54" t="inlineStr">
        <is>
          <t>SÖDERMANLANDS LÄN</t>
        </is>
      </c>
      <c r="E54" t="inlineStr">
        <is>
          <t>VINGÅKER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12861-2022</t>
        </is>
      </c>
      <c r="B55" s="1" t="n">
        <v>44642</v>
      </c>
      <c r="C55" s="1" t="n">
        <v>46200</v>
      </c>
      <c r="D55" t="inlineStr">
        <is>
          <t>SÖDERMANLANDS LÄN</t>
        </is>
      </c>
      <c r="E55" t="inlineStr">
        <is>
          <t>VINGÅKER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13201-2025</t>
        </is>
      </c>
      <c r="B56" s="1" t="n">
        <v>45735</v>
      </c>
      <c r="C56" s="1" t="n">
        <v>46200</v>
      </c>
      <c r="D56" t="inlineStr">
        <is>
          <t>SÖDERMANLANDS LÄN</t>
        </is>
      </c>
      <c r="E56" t="inlineStr">
        <is>
          <t>VINGÅKER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55092-2023</t>
        </is>
      </c>
      <c r="B57" s="1" t="n">
        <v>45237</v>
      </c>
      <c r="C57" s="1" t="n">
        <v>46200</v>
      </c>
      <c r="D57" t="inlineStr">
        <is>
          <t>SÖDERMANLANDS LÄN</t>
        </is>
      </c>
      <c r="E57" t="inlineStr">
        <is>
          <t>VINGÅKER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45792-2023</t>
        </is>
      </c>
      <c r="B58" s="1" t="n">
        <v>45195</v>
      </c>
      <c r="C58" s="1" t="n">
        <v>46200</v>
      </c>
      <c r="D58" t="inlineStr">
        <is>
          <t>SÖDERMANLANDS LÄN</t>
        </is>
      </c>
      <c r="E58" t="inlineStr">
        <is>
          <t>VINGÅKER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60298-2022</t>
        </is>
      </c>
      <c r="B59" s="1" t="n">
        <v>44910</v>
      </c>
      <c r="C59" s="1" t="n">
        <v>46200</v>
      </c>
      <c r="D59" t="inlineStr">
        <is>
          <t>SÖDERMANLANDS LÄN</t>
        </is>
      </c>
      <c r="E59" t="inlineStr">
        <is>
          <t>VINGÅKER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54112-2021</t>
        </is>
      </c>
      <c r="B60" s="1" t="n">
        <v>44470</v>
      </c>
      <c r="C60" s="1" t="n">
        <v>46200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14087-2022</t>
        </is>
      </c>
      <c r="B61" s="1" t="n">
        <v>44651</v>
      </c>
      <c r="C61" s="1" t="n">
        <v>46200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48550-2021</t>
        </is>
      </c>
      <c r="B62" s="1" t="n">
        <v>44452</v>
      </c>
      <c r="C62" s="1" t="n">
        <v>46200</v>
      </c>
      <c r="D62" t="inlineStr">
        <is>
          <t>SÖDERMANLANDS LÄN</t>
        </is>
      </c>
      <c r="E62" t="inlineStr">
        <is>
          <t>VINGÅKER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8465-2023</t>
        </is>
      </c>
      <c r="B63" s="1" t="n">
        <v>44977</v>
      </c>
      <c r="C63" s="1" t="n">
        <v>46200</v>
      </c>
      <c r="D63" t="inlineStr">
        <is>
          <t>SÖDERMANLANDS LÄN</t>
        </is>
      </c>
      <c r="E63" t="inlineStr">
        <is>
          <t>VINGÅKER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29490-2024</t>
        </is>
      </c>
      <c r="B64" s="1" t="n">
        <v>45483</v>
      </c>
      <c r="C64" s="1" t="n">
        <v>46200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44607-2023</t>
        </is>
      </c>
      <c r="B65" s="1" t="n">
        <v>45184</v>
      </c>
      <c r="C65" s="1" t="n">
        <v>46200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17656-2023</t>
        </is>
      </c>
      <c r="B66" s="1" t="n">
        <v>45036</v>
      </c>
      <c r="C66" s="1" t="n">
        <v>46200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20301-2025</t>
        </is>
      </c>
      <c r="B67" s="1" t="n">
        <v>45774</v>
      </c>
      <c r="C67" s="1" t="n">
        <v>46200</v>
      </c>
      <c r="D67" t="inlineStr">
        <is>
          <t>SÖDERMANLANDS LÄN</t>
        </is>
      </c>
      <c r="E67" t="inlineStr">
        <is>
          <t>VINGÅKER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27341-2022</t>
        </is>
      </c>
      <c r="B68" s="1" t="n">
        <v>44742</v>
      </c>
      <c r="C68" s="1" t="n">
        <v>46200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60572-2021</t>
        </is>
      </c>
      <c r="B69" s="1" t="n">
        <v>44496</v>
      </c>
      <c r="C69" s="1" t="n">
        <v>46200</v>
      </c>
      <c r="D69" t="inlineStr">
        <is>
          <t>SÖDERMANLANDS LÄN</t>
        </is>
      </c>
      <c r="E69" t="inlineStr">
        <is>
          <t>VINGÅKER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14597-2023</t>
        </is>
      </c>
      <c r="B70" s="1" t="n">
        <v>45013</v>
      </c>
      <c r="C70" s="1" t="n">
        <v>46200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7136-2024</t>
        </is>
      </c>
      <c r="B71" s="1" t="n">
        <v>45343</v>
      </c>
      <c r="C71" s="1" t="n">
        <v>46200</v>
      </c>
      <c r="D71" t="inlineStr">
        <is>
          <t>SÖDERMANLANDS LÄN</t>
        </is>
      </c>
      <c r="E71" t="inlineStr">
        <is>
          <t>VINGÅKER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63614-2023</t>
        </is>
      </c>
      <c r="B72" s="1" t="n">
        <v>45275</v>
      </c>
      <c r="C72" s="1" t="n">
        <v>46200</v>
      </c>
      <c r="D72" t="inlineStr">
        <is>
          <t>SÖDERMANLANDS LÄN</t>
        </is>
      </c>
      <c r="E72" t="inlineStr">
        <is>
          <t>VINGÅKER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19861-2023</t>
        </is>
      </c>
      <c r="B73" s="1" t="n">
        <v>45053</v>
      </c>
      <c r="C73" s="1" t="n">
        <v>46200</v>
      </c>
      <c r="D73" t="inlineStr">
        <is>
          <t>SÖDERMANLANDS LÄN</t>
        </is>
      </c>
      <c r="E73" t="inlineStr">
        <is>
          <t>VINGÅKER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59988-2022</t>
        </is>
      </c>
      <c r="B74" s="1" t="n">
        <v>44902</v>
      </c>
      <c r="C74" s="1" t="n">
        <v>46200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192-2024</t>
        </is>
      </c>
      <c r="B75" s="1" t="n">
        <v>45294</v>
      </c>
      <c r="C75" s="1" t="n">
        <v>46200</v>
      </c>
      <c r="D75" t="inlineStr">
        <is>
          <t>SÖDERMANLANDS LÄN</t>
        </is>
      </c>
      <c r="E75" t="inlineStr">
        <is>
          <t>VINGÅKER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1788-2023</t>
        </is>
      </c>
      <c r="B76" s="1" t="n">
        <v>44937</v>
      </c>
      <c r="C76" s="1" t="n">
        <v>46200</v>
      </c>
      <c r="D76" t="inlineStr">
        <is>
          <t>SÖDERMANLANDS LÄN</t>
        </is>
      </c>
      <c r="E76" t="inlineStr">
        <is>
          <t>VINGÅKER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45149-2023</t>
        </is>
      </c>
      <c r="B77" s="1" t="n">
        <v>45191</v>
      </c>
      <c r="C77" s="1" t="n">
        <v>46200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22835-2023</t>
        </is>
      </c>
      <c r="B78" s="1" t="n">
        <v>45072</v>
      </c>
      <c r="C78" s="1" t="n">
        <v>46200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35893-2021</t>
        </is>
      </c>
      <c r="B79" s="1" t="n">
        <v>44387</v>
      </c>
      <c r="C79" s="1" t="n">
        <v>46200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46420-2023</t>
        </is>
      </c>
      <c r="B80" s="1" t="n">
        <v>45194</v>
      </c>
      <c r="C80" s="1" t="n">
        <v>46200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46200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35131-2024</t>
        </is>
      </c>
      <c r="B82" s="1" t="n">
        <v>45529</v>
      </c>
      <c r="C82" s="1" t="n">
        <v>46200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63764-2023</t>
        </is>
      </c>
      <c r="B83" s="1" t="n">
        <v>45278</v>
      </c>
      <c r="C83" s="1" t="n">
        <v>46200</v>
      </c>
      <c r="D83" t="inlineStr">
        <is>
          <t>SÖDERMANLANDS LÄN</t>
        </is>
      </c>
      <c r="E83" t="inlineStr">
        <is>
          <t>VINGÅKER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46200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46200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58908-2024</t>
        </is>
      </c>
      <c r="B86" s="1" t="n">
        <v>45636</v>
      </c>
      <c r="C86" s="1" t="n">
        <v>46200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356-2022</t>
        </is>
      </c>
      <c r="B87" s="1" t="n">
        <v>44565</v>
      </c>
      <c r="C87" s="1" t="n">
        <v>46200</v>
      </c>
      <c r="D87" t="inlineStr">
        <is>
          <t>SÖDERMANLANDS LÄN</t>
        </is>
      </c>
      <c r="E87" t="inlineStr">
        <is>
          <t>VINGÅKER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2888-2023</t>
        </is>
      </c>
      <c r="B88" s="1" t="n">
        <v>44945</v>
      </c>
      <c r="C88" s="1" t="n">
        <v>46200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32325-2023</t>
        </is>
      </c>
      <c r="B89" s="1" t="n">
        <v>45120</v>
      </c>
      <c r="C89" s="1" t="n">
        <v>46200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63584-2023</t>
        </is>
      </c>
      <c r="B90" s="1" t="n">
        <v>45275</v>
      </c>
      <c r="C90" s="1" t="n">
        <v>46200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2586-2023</t>
        </is>
      </c>
      <c r="B91" s="1" t="n">
        <v>44943</v>
      </c>
      <c r="C91" s="1" t="n">
        <v>46200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46200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46200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46200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46200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465-2024</t>
        </is>
      </c>
      <c r="B96" s="1" t="n">
        <v>45297</v>
      </c>
      <c r="C96" s="1" t="n">
        <v>46200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55730-2021</t>
        </is>
      </c>
      <c r="B97" s="1" t="n">
        <v>44476</v>
      </c>
      <c r="C97" s="1" t="n">
        <v>46200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64770-2023</t>
        </is>
      </c>
      <c r="B98" s="1" t="n">
        <v>45281</v>
      </c>
      <c r="C98" s="1" t="n">
        <v>46200</v>
      </c>
      <c r="D98" t="inlineStr">
        <is>
          <t>SÖDERMANLANDS LÄN</t>
        </is>
      </c>
      <c r="E98" t="inlineStr">
        <is>
          <t>VINGÅKER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24106-2022</t>
        </is>
      </c>
      <c r="B99" s="1" t="n">
        <v>44725</v>
      </c>
      <c r="C99" s="1" t="n">
        <v>46200</v>
      </c>
      <c r="D99" t="inlineStr">
        <is>
          <t>SÖDERMANLANDS LÄN</t>
        </is>
      </c>
      <c r="E99" t="inlineStr">
        <is>
          <t>VINGÅKER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34159-2022</t>
        </is>
      </c>
      <c r="B100" s="1" t="n">
        <v>44791</v>
      </c>
      <c r="C100" s="1" t="n">
        <v>46200</v>
      </c>
      <c r="D100" t="inlineStr">
        <is>
          <t>SÖDERMANLANDS LÄN</t>
        </is>
      </c>
      <c r="E100" t="inlineStr">
        <is>
          <t>VINGÅKER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2270-2023</t>
        </is>
      </c>
      <c r="B101" s="1" t="n">
        <v>44942</v>
      </c>
      <c r="C101" s="1" t="n">
        <v>46200</v>
      </c>
      <c r="D101" t="inlineStr">
        <is>
          <t>SÖDERMANLANDS LÄN</t>
        </is>
      </c>
      <c r="E101" t="inlineStr">
        <is>
          <t>VINGÅKER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1714-2023</t>
        </is>
      </c>
      <c r="B102" s="1" t="n">
        <v>44938</v>
      </c>
      <c r="C102" s="1" t="n">
        <v>46200</v>
      </c>
      <c r="D102" t="inlineStr">
        <is>
          <t>SÖDERMANLANDS LÄN</t>
        </is>
      </c>
      <c r="E102" t="inlineStr">
        <is>
          <t>VINGÅKER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24405-2023</t>
        </is>
      </c>
      <c r="B103" s="1" t="n">
        <v>45076</v>
      </c>
      <c r="C103" s="1" t="n">
        <v>46200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58842-2022</t>
        </is>
      </c>
      <c r="B104" s="1" t="n">
        <v>44903</v>
      </c>
      <c r="C104" s="1" t="n">
        <v>46200</v>
      </c>
      <c r="D104" t="inlineStr">
        <is>
          <t>SÖDERMANLANDS LÄN</t>
        </is>
      </c>
      <c r="E104" t="inlineStr">
        <is>
          <t>VINGÅKER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17435-2022</t>
        </is>
      </c>
      <c r="B105" s="1" t="n">
        <v>44678</v>
      </c>
      <c r="C105" s="1" t="n">
        <v>46200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32316-2023</t>
        </is>
      </c>
      <c r="B106" s="1" t="n">
        <v>45120</v>
      </c>
      <c r="C106" s="1" t="n">
        <v>46200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1670-2022</t>
        </is>
      </c>
      <c r="B107" s="1" t="n">
        <v>44573</v>
      </c>
      <c r="C107" s="1" t="n">
        <v>46200</v>
      </c>
      <c r="D107" t="inlineStr">
        <is>
          <t>SÖDERMANLANDS LÄN</t>
        </is>
      </c>
      <c r="E107" t="inlineStr">
        <is>
          <t>VINGÅKER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61840-2022</t>
        </is>
      </c>
      <c r="B108" s="1" t="n">
        <v>44917</v>
      </c>
      <c r="C108" s="1" t="n">
        <v>46200</v>
      </c>
      <c r="D108" t="inlineStr">
        <is>
          <t>SÖDERMANLANDS LÄN</t>
        </is>
      </c>
      <c r="E108" t="inlineStr">
        <is>
          <t>VINGÅKER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61842-2022</t>
        </is>
      </c>
      <c r="B109" s="1" t="n">
        <v>44917</v>
      </c>
      <c r="C109" s="1" t="n">
        <v>46200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18182-2023</t>
        </is>
      </c>
      <c r="B110" s="1" t="n">
        <v>45041</v>
      </c>
      <c r="C110" s="1" t="n">
        <v>46200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40831-2021</t>
        </is>
      </c>
      <c r="B111" s="1" t="n">
        <v>44421</v>
      </c>
      <c r="C111" s="1" t="n">
        <v>46200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58806-2023</t>
        </is>
      </c>
      <c r="B112" s="1" t="n">
        <v>45247</v>
      </c>
      <c r="C112" s="1" t="n">
        <v>46200</v>
      </c>
      <c r="D112" t="inlineStr">
        <is>
          <t>SÖDERMANLANDS LÄN</t>
        </is>
      </c>
      <c r="E112" t="inlineStr">
        <is>
          <t>VINGÅKER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8442-2023</t>
        </is>
      </c>
      <c r="B113" s="1" t="n">
        <v>44977</v>
      </c>
      <c r="C113" s="1" t="n">
        <v>46200</v>
      </c>
      <c r="D113" t="inlineStr">
        <is>
          <t>SÖDERMANLANDS LÄN</t>
        </is>
      </c>
      <c r="E113" t="inlineStr">
        <is>
          <t>VINGÅKER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35257-2022</t>
        </is>
      </c>
      <c r="B114" s="1" t="n">
        <v>44798</v>
      </c>
      <c r="C114" s="1" t="n">
        <v>46200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65066-2023</t>
        </is>
      </c>
      <c r="B115" s="1" t="n">
        <v>45285</v>
      </c>
      <c r="C115" s="1" t="n">
        <v>46200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38534-2021</t>
        </is>
      </c>
      <c r="B116" s="1" t="n">
        <v>44407</v>
      </c>
      <c r="C116" s="1" t="n">
        <v>46200</v>
      </c>
      <c r="D116" t="inlineStr">
        <is>
          <t>SÖDERMANLANDS LÄN</t>
        </is>
      </c>
      <c r="E116" t="inlineStr">
        <is>
          <t>VINGÅKER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55824-2023</t>
        </is>
      </c>
      <c r="B117" s="1" t="n">
        <v>45239</v>
      </c>
      <c r="C117" s="1" t="n">
        <v>46200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326-2022</t>
        </is>
      </c>
      <c r="B118" s="1" t="n">
        <v>44565</v>
      </c>
      <c r="C118" s="1" t="n">
        <v>46200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27207-2023</t>
        </is>
      </c>
      <c r="B119" s="1" t="n">
        <v>45096</v>
      </c>
      <c r="C119" s="1" t="n">
        <v>46200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32279-2023</t>
        </is>
      </c>
      <c r="B120" s="1" t="n">
        <v>45109</v>
      </c>
      <c r="C120" s="1" t="n">
        <v>46200</v>
      </c>
      <c r="D120" t="inlineStr">
        <is>
          <t>SÖDERMANLANDS LÄN</t>
        </is>
      </c>
      <c r="E120" t="inlineStr">
        <is>
          <t>VINGÅKER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131-2023</t>
        </is>
      </c>
      <c r="B121" s="1" t="n">
        <v>44918</v>
      </c>
      <c r="C121" s="1" t="n">
        <v>46200</v>
      </c>
      <c r="D121" t="inlineStr">
        <is>
          <t>SÖDERMANLANDS LÄN</t>
        </is>
      </c>
      <c r="E121" t="inlineStr">
        <is>
          <t>VINGÅKER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45425-2024</t>
        </is>
      </c>
      <c r="B122" s="1" t="n">
        <v>45576</v>
      </c>
      <c r="C122" s="1" t="n">
        <v>46200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55640-2022</t>
        </is>
      </c>
      <c r="B123" s="1" t="n">
        <v>44888</v>
      </c>
      <c r="C123" s="1" t="n">
        <v>46200</v>
      </c>
      <c r="D123" t="inlineStr">
        <is>
          <t>SÖDERMANLANDS LÄN</t>
        </is>
      </c>
      <c r="E123" t="inlineStr">
        <is>
          <t>VINGÅKER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11376-2023</t>
        </is>
      </c>
      <c r="B124" s="1" t="n">
        <v>44990</v>
      </c>
      <c r="C124" s="1" t="n">
        <v>46200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54051-2024</t>
        </is>
      </c>
      <c r="B125" s="1" t="n">
        <v>45615</v>
      </c>
      <c r="C125" s="1" t="n">
        <v>46200</v>
      </c>
      <c r="D125" t="inlineStr">
        <is>
          <t>SÖDERMANLANDS LÄN</t>
        </is>
      </c>
      <c r="E125" t="inlineStr">
        <is>
          <t>VINGÅKER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27238-2023</t>
        </is>
      </c>
      <c r="B126" s="1" t="n">
        <v>45096</v>
      </c>
      <c r="C126" s="1" t="n">
        <v>46200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50756-2023</t>
        </is>
      </c>
      <c r="B127" s="1" t="n">
        <v>45210</v>
      </c>
      <c r="C127" s="1" t="n">
        <v>46200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19645-2024</t>
        </is>
      </c>
      <c r="B128" s="1" t="n">
        <v>45432</v>
      </c>
      <c r="C128" s="1" t="n">
        <v>46200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50099-2024</t>
        </is>
      </c>
      <c r="B129" s="1" t="n">
        <v>45597</v>
      </c>
      <c r="C129" s="1" t="n">
        <v>46200</v>
      </c>
      <c r="D129" t="inlineStr">
        <is>
          <t>SÖDERMANLANDS LÄN</t>
        </is>
      </c>
      <c r="E129" t="inlineStr">
        <is>
          <t>VINGÅKER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16617-2025</t>
        </is>
      </c>
      <c r="B130" s="1" t="n">
        <v>45754</v>
      </c>
      <c r="C130" s="1" t="n">
        <v>46200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46200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54742-2023</t>
        </is>
      </c>
      <c r="B132" s="1" t="n">
        <v>45236</v>
      </c>
      <c r="C132" s="1" t="n">
        <v>46200</v>
      </c>
      <c r="D132" t="inlineStr">
        <is>
          <t>SÖDERMANLANDS LÄN</t>
        </is>
      </c>
      <c r="E132" t="inlineStr">
        <is>
          <t>VINGÅKER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64397-2021</t>
        </is>
      </c>
      <c r="B133" s="1" t="n">
        <v>44511</v>
      </c>
      <c r="C133" s="1" t="n">
        <v>46200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48638-2022</t>
        </is>
      </c>
      <c r="B134" s="1" t="n">
        <v>44859</v>
      </c>
      <c r="C134" s="1" t="n">
        <v>46200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54780-2023</t>
        </is>
      </c>
      <c r="B135" s="1" t="n">
        <v>45236</v>
      </c>
      <c r="C135" s="1" t="n">
        <v>46200</v>
      </c>
      <c r="D135" t="inlineStr">
        <is>
          <t>SÖDERMANLANDS LÄN</t>
        </is>
      </c>
      <c r="E135" t="inlineStr">
        <is>
          <t>VINGÅKER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49153-2024</t>
        </is>
      </c>
      <c r="B136" s="1" t="n">
        <v>45594</v>
      </c>
      <c r="C136" s="1" t="n">
        <v>46200</v>
      </c>
      <c r="D136" t="inlineStr">
        <is>
          <t>SÖDERMANLANDS LÄN</t>
        </is>
      </c>
      <c r="E136" t="inlineStr">
        <is>
          <t>VINGÅKER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132-2023</t>
        </is>
      </c>
      <c r="B137" s="1" t="n">
        <v>44918</v>
      </c>
      <c r="C137" s="1" t="n">
        <v>46200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1627-2024</t>
        </is>
      </c>
      <c r="B138" s="1" t="n">
        <v>45306</v>
      </c>
      <c r="C138" s="1" t="n">
        <v>46200</v>
      </c>
      <c r="D138" t="inlineStr">
        <is>
          <t>SÖDERMANLANDS LÄN</t>
        </is>
      </c>
      <c r="E138" t="inlineStr">
        <is>
          <t>VINGÅKER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23415-2023</t>
        </is>
      </c>
      <c r="B139" s="1" t="n">
        <v>45076</v>
      </c>
      <c r="C139" s="1" t="n">
        <v>46200</v>
      </c>
      <c r="D139" t="inlineStr">
        <is>
          <t>SÖDERMANLANDS LÄN</t>
        </is>
      </c>
      <c r="E139" t="inlineStr">
        <is>
          <t>VINGÅKER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3748-2024</t>
        </is>
      </c>
      <c r="B140" s="1" t="n">
        <v>45321</v>
      </c>
      <c r="C140" s="1" t="n">
        <v>46200</v>
      </c>
      <c r="D140" t="inlineStr">
        <is>
          <t>SÖDERMANLANDS LÄN</t>
        </is>
      </c>
      <c r="E140" t="inlineStr">
        <is>
          <t>VINGÅKER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13185-2025</t>
        </is>
      </c>
      <c r="B141" s="1" t="n">
        <v>45735</v>
      </c>
      <c r="C141" s="1" t="n">
        <v>46200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13192-2025</t>
        </is>
      </c>
      <c r="B142" s="1" t="n">
        <v>45735</v>
      </c>
      <c r="C142" s="1" t="n">
        <v>46200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48620-2022</t>
        </is>
      </c>
      <c r="B143" s="1" t="n">
        <v>44859</v>
      </c>
      <c r="C143" s="1" t="n">
        <v>46200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48627-2022</t>
        </is>
      </c>
      <c r="B144" s="1" t="n">
        <v>44859</v>
      </c>
      <c r="C144" s="1" t="n">
        <v>46200</v>
      </c>
      <c r="D144" t="inlineStr">
        <is>
          <t>SÖDERMANLANDS LÄN</t>
        </is>
      </c>
      <c r="E144" t="inlineStr">
        <is>
          <t>VINGÅKER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27960-2025</t>
        </is>
      </c>
      <c r="B145" s="1" t="n">
        <v>45817</v>
      </c>
      <c r="C145" s="1" t="n">
        <v>46200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57632-2024</t>
        </is>
      </c>
      <c r="B146" s="1" t="n">
        <v>45630</v>
      </c>
      <c r="C146" s="1" t="n">
        <v>46200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48631-2022</t>
        </is>
      </c>
      <c r="B147" s="1" t="n">
        <v>44859</v>
      </c>
      <c r="C147" s="1" t="n">
        <v>46200</v>
      </c>
      <c r="D147" t="inlineStr">
        <is>
          <t>SÖDERMANLANDS LÄN</t>
        </is>
      </c>
      <c r="E147" t="inlineStr">
        <is>
          <t>VINGÅKER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48644-2022</t>
        </is>
      </c>
      <c r="B148" s="1" t="n">
        <v>44859</v>
      </c>
      <c r="C148" s="1" t="n">
        <v>46200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1668-2022</t>
        </is>
      </c>
      <c r="B149" s="1" t="n">
        <v>44573</v>
      </c>
      <c r="C149" s="1" t="n">
        <v>46200</v>
      </c>
      <c r="D149" t="inlineStr">
        <is>
          <t>SÖDERMANLANDS LÄN</t>
        </is>
      </c>
      <c r="E149" t="inlineStr">
        <is>
          <t>VINGÅKER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28150-2025</t>
        </is>
      </c>
      <c r="B150" s="1" t="n">
        <v>45818</v>
      </c>
      <c r="C150" s="1" t="n">
        <v>46200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19860-2023</t>
        </is>
      </c>
      <c r="B151" s="1" t="n">
        <v>45053</v>
      </c>
      <c r="C151" s="1" t="n">
        <v>46200</v>
      </c>
      <c r="D151" t="inlineStr">
        <is>
          <t>SÖDERMANLANDS LÄN</t>
        </is>
      </c>
      <c r="E151" t="inlineStr">
        <is>
          <t>VINGÅKER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466-2024</t>
        </is>
      </c>
      <c r="B152" s="1" t="n">
        <v>45297</v>
      </c>
      <c r="C152" s="1" t="n">
        <v>46200</v>
      </c>
      <c r="D152" t="inlineStr">
        <is>
          <t>SÖDERMANLANDS LÄN</t>
        </is>
      </c>
      <c r="E152" t="inlineStr">
        <is>
          <t>VINGÅKER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23429-2023</t>
        </is>
      </c>
      <c r="B153" s="1" t="n">
        <v>45076</v>
      </c>
      <c r="C153" s="1" t="n">
        <v>46200</v>
      </c>
      <c r="D153" t="inlineStr">
        <is>
          <t>SÖDERMANLANDS LÄN</t>
        </is>
      </c>
      <c r="E153" t="inlineStr">
        <is>
          <t>VINGÅKER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41952-2022</t>
        </is>
      </c>
      <c r="B154" s="1" t="n">
        <v>44830</v>
      </c>
      <c r="C154" s="1" t="n">
        <v>46200</v>
      </c>
      <c r="D154" t="inlineStr">
        <is>
          <t>SÖDERMANLANDS LÄN</t>
        </is>
      </c>
      <c r="E154" t="inlineStr">
        <is>
          <t>VINGÅKER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55434-2021</t>
        </is>
      </c>
      <c r="B155" s="1" t="n">
        <v>44475</v>
      </c>
      <c r="C155" s="1" t="n">
        <v>46200</v>
      </c>
      <c r="D155" t="inlineStr">
        <is>
          <t>SÖDERMANLANDS LÄN</t>
        </is>
      </c>
      <c r="E155" t="inlineStr">
        <is>
          <t>VINGÅKER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45162-2023</t>
        </is>
      </c>
      <c r="B156" s="1" t="n">
        <v>45191</v>
      </c>
      <c r="C156" s="1" t="n">
        <v>46200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41870-2023</t>
        </is>
      </c>
      <c r="B157" s="1" t="n">
        <v>45174</v>
      </c>
      <c r="C157" s="1" t="n">
        <v>46200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39779-2024</t>
        </is>
      </c>
      <c r="B158" s="1" t="n">
        <v>45552</v>
      </c>
      <c r="C158" s="1" t="n">
        <v>46200</v>
      </c>
      <c r="D158" t="inlineStr">
        <is>
          <t>SÖDERMANLANDS LÄN</t>
        </is>
      </c>
      <c r="E158" t="inlineStr">
        <is>
          <t>VINGÅKER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16071-2023</t>
        </is>
      </c>
      <c r="B159" s="1" t="n">
        <v>45021</v>
      </c>
      <c r="C159" s="1" t="n">
        <v>46200</v>
      </c>
      <c r="D159" t="inlineStr">
        <is>
          <t>SÖDERMANLANDS LÄN</t>
        </is>
      </c>
      <c r="E159" t="inlineStr">
        <is>
          <t>VINGÅKER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17797-2025</t>
        </is>
      </c>
      <c r="B160" s="1" t="n">
        <v>45758</v>
      </c>
      <c r="C160" s="1" t="n">
        <v>46200</v>
      </c>
      <c r="D160" t="inlineStr">
        <is>
          <t>SÖDERMANLANDS LÄN</t>
        </is>
      </c>
      <c r="E160" t="inlineStr">
        <is>
          <t>VINGÅKER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53863-2021</t>
        </is>
      </c>
      <c r="B161" s="1" t="n">
        <v>44468</v>
      </c>
      <c r="C161" s="1" t="n">
        <v>46200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20427-2023</t>
        </is>
      </c>
      <c r="B162" s="1" t="n">
        <v>45056</v>
      </c>
      <c r="C162" s="1" t="n">
        <v>46200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7825-2022</t>
        </is>
      </c>
      <c r="B163" s="1" t="n">
        <v>44608</v>
      </c>
      <c r="C163" s="1" t="n">
        <v>46200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32273-2023</t>
        </is>
      </c>
      <c r="B164" s="1" t="n">
        <v>45109</v>
      </c>
      <c r="C164" s="1" t="n">
        <v>46200</v>
      </c>
      <c r="D164" t="inlineStr">
        <is>
          <t>SÖDERMANLANDS LÄN</t>
        </is>
      </c>
      <c r="E164" t="inlineStr">
        <is>
          <t>VINGÅKER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9543-2022</t>
        </is>
      </c>
      <c r="B165" s="1" t="n">
        <v>44617</v>
      </c>
      <c r="C165" s="1" t="n">
        <v>46200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58224-2022</t>
        </is>
      </c>
      <c r="B166" s="1" t="n">
        <v>44893</v>
      </c>
      <c r="C166" s="1" t="n">
        <v>46200</v>
      </c>
      <c r="D166" t="inlineStr">
        <is>
          <t>SÖDERMANLANDS LÄN</t>
        </is>
      </c>
      <c r="E166" t="inlineStr">
        <is>
          <t>VINGÅKER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36649-2023</t>
        </is>
      </c>
      <c r="B167" s="1" t="n">
        <v>45153</v>
      </c>
      <c r="C167" s="1" t="n">
        <v>46200</v>
      </c>
      <c r="D167" t="inlineStr">
        <is>
          <t>SÖDERMANLANDS LÄN</t>
        </is>
      </c>
      <c r="E167" t="inlineStr">
        <is>
          <t>VINGÅKER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25493-2025</t>
        </is>
      </c>
      <c r="B168" s="1" t="n">
        <v>45803</v>
      </c>
      <c r="C168" s="1" t="n">
        <v>46200</v>
      </c>
      <c r="D168" t="inlineStr">
        <is>
          <t>SÖDERMANLANDS LÄN</t>
        </is>
      </c>
      <c r="E168" t="inlineStr">
        <is>
          <t>VINGÅKER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46200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46200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5348-2022</t>
        </is>
      </c>
      <c r="B171" s="1" t="n">
        <v>44594</v>
      </c>
      <c r="C171" s="1" t="n">
        <v>46200</v>
      </c>
      <c r="D171" t="inlineStr">
        <is>
          <t>SÖDERMANLANDS LÄN</t>
        </is>
      </c>
      <c r="E171" t="inlineStr">
        <is>
          <t>VINGÅKER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18241-2022</t>
        </is>
      </c>
      <c r="B172" s="1" t="n">
        <v>44685</v>
      </c>
      <c r="C172" s="1" t="n">
        <v>46200</v>
      </c>
      <c r="D172" t="inlineStr">
        <is>
          <t>SÖDERMANLANDS LÄN</t>
        </is>
      </c>
      <c r="E172" t="inlineStr">
        <is>
          <t>VINGÅKER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46200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61825-2022</t>
        </is>
      </c>
      <c r="B174" s="1" t="n">
        <v>44917</v>
      </c>
      <c r="C174" s="1" t="n">
        <v>46200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12714-2025</t>
        </is>
      </c>
      <c r="B175" s="1" t="n">
        <v>45733</v>
      </c>
      <c r="C175" s="1" t="n">
        <v>46200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61534-2022</t>
        </is>
      </c>
      <c r="B176" s="1" t="n">
        <v>44910</v>
      </c>
      <c r="C176" s="1" t="n">
        <v>46200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57608-2024</t>
        </is>
      </c>
      <c r="B177" s="1" t="n">
        <v>45630</v>
      </c>
      <c r="C177" s="1" t="n">
        <v>46200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6824-2023</t>
        </is>
      </c>
      <c r="B178" s="1" t="n">
        <v>44967</v>
      </c>
      <c r="C178" s="1" t="n">
        <v>46200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34019-2023</t>
        </is>
      </c>
      <c r="B179" s="1" t="n">
        <v>45135</v>
      </c>
      <c r="C179" s="1" t="n">
        <v>46200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32522-2023</t>
        </is>
      </c>
      <c r="B180" s="1" t="n">
        <v>45110</v>
      </c>
      <c r="C180" s="1" t="n">
        <v>46200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60578-2021</t>
        </is>
      </c>
      <c r="B181" s="1" t="n">
        <v>44496</v>
      </c>
      <c r="C181" s="1" t="n">
        <v>46200</v>
      </c>
      <c r="D181" t="inlineStr">
        <is>
          <t>SÖDERMANLANDS LÄN</t>
        </is>
      </c>
      <c r="E181" t="inlineStr">
        <is>
          <t>VINGÅKER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1460-2023</t>
        </is>
      </c>
      <c r="B182" s="1" t="n">
        <v>44937</v>
      </c>
      <c r="C182" s="1" t="n">
        <v>46200</v>
      </c>
      <c r="D182" t="inlineStr">
        <is>
          <t>SÖDERMANLANDS LÄN</t>
        </is>
      </c>
      <c r="E182" t="inlineStr">
        <is>
          <t>VINGÅKER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1721-2023</t>
        </is>
      </c>
      <c r="B183" s="1" t="n">
        <v>44938</v>
      </c>
      <c r="C183" s="1" t="n">
        <v>46200</v>
      </c>
      <c r="D183" t="inlineStr">
        <is>
          <t>SÖDERMANLANDS LÄN</t>
        </is>
      </c>
      <c r="E183" t="inlineStr">
        <is>
          <t>VINGÅKER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16495-2022</t>
        </is>
      </c>
      <c r="B184" s="1" t="n">
        <v>44671</v>
      </c>
      <c r="C184" s="1" t="n">
        <v>46200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3304-2024</t>
        </is>
      </c>
      <c r="B185" s="1" t="n">
        <v>45317</v>
      </c>
      <c r="C185" s="1" t="n">
        <v>46200</v>
      </c>
      <c r="D185" t="inlineStr">
        <is>
          <t>SÖDERMANLANDS LÄN</t>
        </is>
      </c>
      <c r="E185" t="inlineStr">
        <is>
          <t>VINGÅKER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5348-2022</t>
        </is>
      </c>
      <c r="B186" s="1" t="n">
        <v>44594</v>
      </c>
      <c r="C186" s="1" t="n">
        <v>46200</v>
      </c>
      <c r="D186" t="inlineStr">
        <is>
          <t>SÖDERMANLANDS LÄN</t>
        </is>
      </c>
      <c r="E186" t="inlineStr">
        <is>
          <t>VINGÅKER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60578-2021</t>
        </is>
      </c>
      <c r="B187" s="1" t="n">
        <v>44496</v>
      </c>
      <c r="C187" s="1" t="n">
        <v>46200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37740-2025</t>
        </is>
      </c>
      <c r="B188" s="1" t="n">
        <v>45880</v>
      </c>
      <c r="C188" s="1" t="n">
        <v>46200</v>
      </c>
      <c r="D188" t="inlineStr">
        <is>
          <t>SÖDERMANLANDS LÄN</t>
        </is>
      </c>
      <c r="E188" t="inlineStr">
        <is>
          <t>VINGÅKER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22135-2023</t>
        </is>
      </c>
      <c r="B189" s="1" t="n">
        <v>45069</v>
      </c>
      <c r="C189" s="1" t="n">
        <v>46200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28003-2022</t>
        </is>
      </c>
      <c r="B190" s="1" t="n">
        <v>44744</v>
      </c>
      <c r="C190" s="1" t="n">
        <v>46200</v>
      </c>
      <c r="D190" t="inlineStr">
        <is>
          <t>SÖDERMANLANDS LÄN</t>
        </is>
      </c>
      <c r="E190" t="inlineStr">
        <is>
          <t>VINGÅKER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30931-2024</t>
        </is>
      </c>
      <c r="B191" s="1" t="n">
        <v>45498</v>
      </c>
      <c r="C191" s="1" t="n">
        <v>46200</v>
      </c>
      <c r="D191" t="inlineStr">
        <is>
          <t>SÖDERMANLANDS LÄN</t>
        </is>
      </c>
      <c r="E191" t="inlineStr">
        <is>
          <t>VINGÅKER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18797-2025</t>
        </is>
      </c>
      <c r="B192" s="1" t="n">
        <v>45764</v>
      </c>
      <c r="C192" s="1" t="n">
        <v>46200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17768-2024</t>
        </is>
      </c>
      <c r="B193" s="1" t="n">
        <v>45418</v>
      </c>
      <c r="C193" s="1" t="n">
        <v>46200</v>
      </c>
      <c r="D193" t="inlineStr">
        <is>
          <t>SÖDERMANLANDS LÄN</t>
        </is>
      </c>
      <c r="E193" t="inlineStr">
        <is>
          <t>VINGÅKER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14073-2025</t>
        </is>
      </c>
      <c r="B194" s="1" t="n">
        <v>45740</v>
      </c>
      <c r="C194" s="1" t="n">
        <v>46200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16069-2025</t>
        </is>
      </c>
      <c r="B195" s="1" t="n">
        <v>45749</v>
      </c>
      <c r="C195" s="1" t="n">
        <v>46200</v>
      </c>
      <c r="D195" t="inlineStr">
        <is>
          <t>SÖDERMANLANDS LÄN</t>
        </is>
      </c>
      <c r="E195" t="inlineStr">
        <is>
          <t>VINGÅKER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54390-2023</t>
        </is>
      </c>
      <c r="B196" s="1" t="n">
        <v>45226</v>
      </c>
      <c r="C196" s="1" t="n">
        <v>46200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42455-2025</t>
        </is>
      </c>
      <c r="B197" s="1" t="n">
        <v>45905</v>
      </c>
      <c r="C197" s="1" t="n">
        <v>46200</v>
      </c>
      <c r="D197" t="inlineStr">
        <is>
          <t>SÖDERMANLANDS LÄN</t>
        </is>
      </c>
      <c r="E197" t="inlineStr">
        <is>
          <t>VINGÅKER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42416-2025</t>
        </is>
      </c>
      <c r="B198" s="1" t="n">
        <v>45905</v>
      </c>
      <c r="C198" s="1" t="n">
        <v>46200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21160-2024</t>
        </is>
      </c>
      <c r="B199" s="1" t="n">
        <v>45440</v>
      </c>
      <c r="C199" s="1" t="n">
        <v>46200</v>
      </c>
      <c r="D199" t="inlineStr">
        <is>
          <t>SÖDERMANLANDS LÄN</t>
        </is>
      </c>
      <c r="E199" t="inlineStr">
        <is>
          <t>VINGÅKER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16986-2025</t>
        </is>
      </c>
      <c r="B200" s="1" t="n">
        <v>45755</v>
      </c>
      <c r="C200" s="1" t="n">
        <v>46200</v>
      </c>
      <c r="D200" t="inlineStr">
        <is>
          <t>SÖDERMANLANDS LÄN</t>
        </is>
      </c>
      <c r="E200" t="inlineStr">
        <is>
          <t>VINGÅKER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42564-2023</t>
        </is>
      </c>
      <c r="B201" s="1" t="n">
        <v>45181</v>
      </c>
      <c r="C201" s="1" t="n">
        <v>46200</v>
      </c>
      <c r="D201" t="inlineStr">
        <is>
          <t>SÖDERMANLANDS LÄN</t>
        </is>
      </c>
      <c r="E201" t="inlineStr">
        <is>
          <t>VINGÅKER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53316-2025</t>
        </is>
      </c>
      <c r="B202" s="1" t="n">
        <v>45959</v>
      </c>
      <c r="C202" s="1" t="n">
        <v>46200</v>
      </c>
      <c r="D202" t="inlineStr">
        <is>
          <t>SÖDERMANLANDS LÄN</t>
        </is>
      </c>
      <c r="E202" t="inlineStr">
        <is>
          <t>VINGÅKER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45426-2024</t>
        </is>
      </c>
      <c r="B203" s="1" t="n">
        <v>45576</v>
      </c>
      <c r="C203" s="1" t="n">
        <v>46200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50100-2024</t>
        </is>
      </c>
      <c r="B204" s="1" t="n">
        <v>45598</v>
      </c>
      <c r="C204" s="1" t="n">
        <v>46200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20192-2023</t>
        </is>
      </c>
      <c r="B205" s="1" t="n">
        <v>45051</v>
      </c>
      <c r="C205" s="1" t="n">
        <v>46200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48875-2024</t>
        </is>
      </c>
      <c r="B206" s="1" t="n">
        <v>45594</v>
      </c>
      <c r="C206" s="1" t="n">
        <v>46200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56627-2023</t>
        </is>
      </c>
      <c r="B207" s="1" t="n">
        <v>45243</v>
      </c>
      <c r="C207" s="1" t="n">
        <v>46200</v>
      </c>
      <c r="D207" t="inlineStr">
        <is>
          <t>SÖDERMANLANDS LÄN</t>
        </is>
      </c>
      <c r="E207" t="inlineStr">
        <is>
          <t>VINGÅKER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57862-2025</t>
        </is>
      </c>
      <c r="B208" s="1" t="n">
        <v>45981</v>
      </c>
      <c r="C208" s="1" t="n">
        <v>46200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57393-2025</t>
        </is>
      </c>
      <c r="B209" s="1" t="n">
        <v>45980</v>
      </c>
      <c r="C209" s="1" t="n">
        <v>46200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45422-2024</t>
        </is>
      </c>
      <c r="B210" s="1" t="n">
        <v>45576</v>
      </c>
      <c r="C210" s="1" t="n">
        <v>46200</v>
      </c>
      <c r="D210" t="inlineStr">
        <is>
          <t>SÖDERMANLANDS LÄN</t>
        </is>
      </c>
      <c r="E210" t="inlineStr">
        <is>
          <t>VINGÅKER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58174-2025</t>
        </is>
      </c>
      <c r="B211" s="1" t="n">
        <v>45982</v>
      </c>
      <c r="C211" s="1" t="n">
        <v>46200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54978-2021</t>
        </is>
      </c>
      <c r="B212" s="1" t="n">
        <v>44474</v>
      </c>
      <c r="C212" s="1" t="n">
        <v>46200</v>
      </c>
      <c r="D212" t="inlineStr">
        <is>
          <t>SÖDERMANLANDS LÄN</t>
        </is>
      </c>
      <c r="E212" t="inlineStr">
        <is>
          <t>VINGÅKER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60467-2025</t>
        </is>
      </c>
      <c r="B213" s="1" t="n">
        <v>45995</v>
      </c>
      <c r="C213" s="1" t="n">
        <v>46200</v>
      </c>
      <c r="D213" t="inlineStr">
        <is>
          <t>SÖDERMANLANDS LÄN</t>
        </is>
      </c>
      <c r="E213" t="inlineStr">
        <is>
          <t>VINGÅKER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61576-2025</t>
        </is>
      </c>
      <c r="B214" s="1" t="n">
        <v>46002</v>
      </c>
      <c r="C214" s="1" t="n">
        <v>46200</v>
      </c>
      <c r="D214" t="inlineStr">
        <is>
          <t>SÖDERMANLANDS LÄN</t>
        </is>
      </c>
      <c r="E214" t="inlineStr">
        <is>
          <t>VINGÅKER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609-2026</t>
        </is>
      </c>
      <c r="B215" s="1" t="n">
        <v>46023</v>
      </c>
      <c r="C215" s="1" t="n">
        <v>46200</v>
      </c>
      <c r="D215" t="inlineStr">
        <is>
          <t>SÖDERMANLANDS LÄN</t>
        </is>
      </c>
      <c r="E215" t="inlineStr">
        <is>
          <t>VINGÅKER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2601-2026</t>
        </is>
      </c>
      <c r="B216" s="1" t="n">
        <v>46037</v>
      </c>
      <c r="C216" s="1" t="n">
        <v>46200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10546-2026</t>
        </is>
      </c>
      <c r="B217" s="1" t="n">
        <v>46077</v>
      </c>
      <c r="C217" s="1" t="n">
        <v>46200</v>
      </c>
      <c r="D217" t="inlineStr">
        <is>
          <t>SÖDERMANLANDS LÄN</t>
        </is>
      </c>
      <c r="E217" t="inlineStr">
        <is>
          <t>VINGÅKER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10549-2026</t>
        </is>
      </c>
      <c r="B218" s="1" t="n">
        <v>46077</v>
      </c>
      <c r="C218" s="1" t="n">
        <v>46200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11524-2026</t>
        </is>
      </c>
      <c r="B219" s="1" t="n">
        <v>46083</v>
      </c>
      <c r="C219" s="1" t="n">
        <v>46200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8997-2026</t>
        </is>
      </c>
      <c r="B220" s="1" t="n">
        <v>46069</v>
      </c>
      <c r="C220" s="1" t="n">
        <v>46200</v>
      </c>
      <c r="D220" t="inlineStr">
        <is>
          <t>SÖDERMANLANDS LÄN</t>
        </is>
      </c>
      <c r="E220" t="inlineStr">
        <is>
          <t>VINGÅKER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16479-2026</t>
        </is>
      </c>
      <c r="B221" s="1" t="n">
        <v>46112</v>
      </c>
      <c r="C221" s="1" t="n">
        <v>46200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17731-2026</t>
        </is>
      </c>
      <c r="B222" s="1" t="n">
        <v>46121</v>
      </c>
      <c r="C222" s="1" t="n">
        <v>46200</v>
      </c>
      <c r="D222" t="inlineStr">
        <is>
          <t>SÖDERMANLANDS LÄN</t>
        </is>
      </c>
      <c r="E222" t="inlineStr">
        <is>
          <t>VINGÅKER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19792-2026</t>
        </is>
      </c>
      <c r="B223" s="1" t="n">
        <v>46135</v>
      </c>
      <c r="C223" s="1" t="n">
        <v>46200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26146-2026</t>
        </is>
      </c>
      <c r="B224" s="1" t="n">
        <v>46181</v>
      </c>
      <c r="C224" s="1" t="n">
        <v>46200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46464-2024</t>
        </is>
      </c>
      <c r="B225" s="1" t="n">
        <v>45582</v>
      </c>
      <c r="C225" s="1" t="n">
        <v>46200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19920-2026</t>
        </is>
      </c>
      <c r="B226" s="1" t="n">
        <v>46136</v>
      </c>
      <c r="C226" s="1" t="n">
        <v>46200</v>
      </c>
      <c r="D226" t="inlineStr">
        <is>
          <t>SÖDERMANLANDS LÄN</t>
        </is>
      </c>
      <c r="E226" t="inlineStr">
        <is>
          <t>VINGÅKER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26143-2026</t>
        </is>
      </c>
      <c r="B227" s="1" t="n">
        <v>46181</v>
      </c>
      <c r="C227" s="1" t="n">
        <v>46200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26144-2026</t>
        </is>
      </c>
      <c r="B228" s="1" t="n">
        <v>46181</v>
      </c>
      <c r="C228" s="1" t="n">
        <v>46200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26142-2026</t>
        </is>
      </c>
      <c r="B229" s="1" t="n">
        <v>46181</v>
      </c>
      <c r="C229" s="1" t="n">
        <v>46200</v>
      </c>
      <c r="D229" t="inlineStr">
        <is>
          <t>SÖDERMANLANDS LÄN</t>
        </is>
      </c>
      <c r="E229" t="inlineStr">
        <is>
          <t>VINGÅKER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26155-2026</t>
        </is>
      </c>
      <c r="B230" s="1" t="n">
        <v>46181</v>
      </c>
      <c r="C230" s="1" t="n">
        <v>46200</v>
      </c>
      <c r="D230" t="inlineStr">
        <is>
          <t>SÖDERMANLANDS LÄN</t>
        </is>
      </c>
      <c r="E230" t="inlineStr">
        <is>
          <t>VINGÅKER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58801-2025</t>
        </is>
      </c>
      <c r="B231" s="1" t="n">
        <v>45986</v>
      </c>
      <c r="C231" s="1" t="n">
        <v>46200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20243-2026</t>
        </is>
      </c>
      <c r="B232" s="1" t="n">
        <v>46136</v>
      </c>
      <c r="C232" s="1" t="n">
        <v>46200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26147-2026</t>
        </is>
      </c>
      <c r="B233" s="1" t="n">
        <v>46181</v>
      </c>
      <c r="C233" s="1" t="n">
        <v>46200</v>
      </c>
      <c r="D233" t="inlineStr">
        <is>
          <t>SÖDERMANLANDS LÄN</t>
        </is>
      </c>
      <c r="E233" t="inlineStr">
        <is>
          <t>VINGÅKER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26141-2026</t>
        </is>
      </c>
      <c r="B234" s="1" t="n">
        <v>46181</v>
      </c>
      <c r="C234" s="1" t="n">
        <v>46200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61578-2025</t>
        </is>
      </c>
      <c r="B235" s="1" t="n">
        <v>46002</v>
      </c>
      <c r="C235" s="1" t="n">
        <v>46200</v>
      </c>
      <c r="D235" t="inlineStr">
        <is>
          <t>SÖDERMANLANDS LÄN</t>
        </is>
      </c>
      <c r="E235" t="inlineStr">
        <is>
          <t>VINGÅKER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21551-2026</t>
        </is>
      </c>
      <c r="B236" s="1" t="n">
        <v>46147</v>
      </c>
      <c r="C236" s="1" t="n">
        <v>46200</v>
      </c>
      <c r="D236" t="inlineStr">
        <is>
          <t>SÖDERMANLANDS LÄN</t>
        </is>
      </c>
      <c r="E236" t="inlineStr">
        <is>
          <t>VINGÅKER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45731-2025</t>
        </is>
      </c>
      <c r="B237" s="1" t="n">
        <v>45923</v>
      </c>
      <c r="C237" s="1" t="n">
        <v>46200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27978-2026</t>
        </is>
      </c>
      <c r="B238" s="1" t="n">
        <v>46195</v>
      </c>
      <c r="C238" s="1" t="n">
        <v>46200</v>
      </c>
      <c r="D238" t="inlineStr">
        <is>
          <t>SÖDERMANLANDS LÄN</t>
        </is>
      </c>
      <c r="E238" t="inlineStr">
        <is>
          <t>VINGÅKER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22525-2026</t>
        </is>
      </c>
      <c r="B239" s="1" t="n">
        <v>46155</v>
      </c>
      <c r="C239" s="1" t="n">
        <v>46200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42446-2025</t>
        </is>
      </c>
      <c r="B240" s="1" t="n">
        <v>45905</v>
      </c>
      <c r="C240" s="1" t="n">
        <v>46200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57402-2025</t>
        </is>
      </c>
      <c r="B241" s="1" t="n">
        <v>45980</v>
      </c>
      <c r="C241" s="1" t="n">
        <v>46200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2026-06-27T00:52:37Z</dcterms:created>
  <dcterms:modified xmlns:dcterms="http://purl.org/dc/terms/" xmlns:xsi="http://www.w3.org/2001/XMLSchema-instance" xsi:type="dcterms:W3CDTF">2026-06-27T00:52:37Z</dcterms:modified>
</cp:coreProperties>
</file>