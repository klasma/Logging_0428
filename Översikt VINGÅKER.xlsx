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X2">
        <f>HYPERLINK("https://klasma.github.io/Logging_0428/kartor_geotiff/A 54381-2023 georefererad karta.tif", "A 54381-2023")</f>
        <v/>
      </c>
      <c r="Z2">
        <f>HYPERLINK("https://klasma.github.io/Logging_0428/klagomål/A 54381-2023 FSC-klagomål.docx", "A 54381-2023")</f>
        <v/>
      </c>
      <c r="AA2">
        <f>HYPERLINK("https://klasma.github.io/Logging_0428/klagomålsmail/A 54381-2023 FSC-klagomål mail.docx", "A 54381-2023")</f>
        <v/>
      </c>
      <c r="AB2">
        <f>HYPERLINK("https://klasma.github.io/Logging_0428/tillsyn/A 54381-2023 tillsynsbegäran.docx", "A 54381-2023")</f>
        <v/>
      </c>
      <c r="AC2">
        <f>HYPERLINK("https://klasma.github.io/Logging_0428/tillsynsmail/A 54381-2023 tillsynsbegäran mail.docx", "A 54381-2023")</f>
        <v/>
      </c>
      <c r="AD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X3">
        <f>HYPERLINK("https://klasma.github.io/Logging_0428/kartor_geotiff/A 13073-2023 georefererad karta.tif", "A 13073-2023")</f>
        <v/>
      </c>
      <c r="Z3">
        <f>HYPERLINK("https://klasma.github.io/Logging_0428/klagomål/A 13073-2023 FSC-klagomål.docx", "A 13073-2023")</f>
        <v/>
      </c>
      <c r="AA3">
        <f>HYPERLINK("https://klasma.github.io/Logging_0428/klagomålsmail/A 13073-2023 FSC-klagomål mail.docx", "A 13073-2023")</f>
        <v/>
      </c>
      <c r="AB3">
        <f>HYPERLINK("https://klasma.github.io/Logging_0428/tillsyn/A 13073-2023 tillsynsbegäran.docx", "A 13073-2023")</f>
        <v/>
      </c>
      <c r="AC3">
        <f>HYPERLINK("https://klasma.github.io/Logging_0428/tillsynsmail/A 13073-2023 tillsynsbegäran mail.docx", "A 13073-2023")</f>
        <v/>
      </c>
      <c r="AD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X4">
        <f>HYPERLINK("https://klasma.github.io/Logging_0428/kartor_geotiff/S 6326-2022 georefererad karta.tif", "S 6326-2022")</f>
        <v/>
      </c>
      <c r="Z4">
        <f>HYPERLINK("https://klasma.github.io/Logging_0428/klagomål/S 6326-2022 FSC-klagomål.docx", "S 6326-2022")</f>
        <v/>
      </c>
      <c r="AA4">
        <f>HYPERLINK("https://klasma.github.io/Logging_0428/klagomålsmail/S 6326-2022 FSC-klagomål mail.docx", "S 6326-2022")</f>
        <v/>
      </c>
      <c r="AB4">
        <f>HYPERLINK("https://klasma.github.io/Logging_0428/tillsyn/S 6326-2022 tillsynsbegäran.docx", "S 6326-2022")</f>
        <v/>
      </c>
      <c r="AC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46223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s="2" t="inlineStr">
        <is>
          <t>Hällebräcka
Gullpudra
Gulsparv
Buskskvätta</t>
        </is>
      </c>
      <c r="V5">
        <f>HYPERLINK("https://klasma.github.io/Logging_0428/artfynd/A 43704-2021 artfynd.xlsx", "A 43704-2021")</f>
        <v/>
      </c>
      <c r="W5">
        <f>HYPERLINK("https://klasma.github.io/Logging_0428/kartor/A 43704-2021 karta.png", "A 43704-2021")</f>
        <v/>
      </c>
      <c r="X5">
        <f>HYPERLINK("https://klasma.github.io/Logging_0428/kartor_geotiff/A 43704-2021 georefererad karta.tif", "A 43704-2021")</f>
        <v/>
      </c>
      <c r="Z5">
        <f>HYPERLINK("https://klasma.github.io/Logging_0428/klagomål/A 43704-2021 FSC-klagomål.docx", "A 43704-2021")</f>
        <v/>
      </c>
      <c r="AA5">
        <f>HYPERLINK("https://klasma.github.io/Logging_0428/klagomålsmail/A 43704-2021 FSC-klagomål mail.docx", "A 43704-2021")</f>
        <v/>
      </c>
      <c r="AB5">
        <f>HYPERLINK("https://klasma.github.io/Logging_0428/tillsyn/A 43704-2021 tillsynsbegäran.docx", "A 43704-2021")</f>
        <v/>
      </c>
      <c r="AC5">
        <f>HYPERLINK("https://klasma.github.io/Logging_0428/tillsynsmail/A 43704-2021 tillsynsbegäran mail.docx", "A 43704-2021")</f>
        <v/>
      </c>
      <c r="AD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46223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s="2" t="inlineStr">
        <is>
          <t>Dropptaggsvamp
Tallticka
Vedskivlav
Mindre märgborre</t>
        </is>
      </c>
      <c r="V6">
        <f>HYPERLINK("https://klasma.github.io/Logging_0428/artfynd/A 66246-2021 artfynd.xlsx", "A 66246-2021")</f>
        <v/>
      </c>
      <c r="W6">
        <f>HYPERLINK("https://klasma.github.io/Logging_0428/kartor/A 66246-2021 karta.png", "A 66246-2021")</f>
        <v/>
      </c>
      <c r="X6">
        <f>HYPERLINK("https://klasma.github.io/Logging_0428/kartor_geotiff/A 66246-2021 georefererad karta.tif", "A 66246-2021")</f>
        <v/>
      </c>
      <c r="Z6">
        <f>HYPERLINK("https://klasma.github.io/Logging_0428/klagomål/A 66246-2021 FSC-klagomål.docx", "A 66246-2021")</f>
        <v/>
      </c>
      <c r="AA6">
        <f>HYPERLINK("https://klasma.github.io/Logging_0428/klagomålsmail/A 66246-2021 FSC-klagomål mail.docx", "A 66246-2021")</f>
        <v/>
      </c>
      <c r="AB6">
        <f>HYPERLINK("https://klasma.github.io/Logging_0428/tillsyn/A 66246-2021 tillsynsbegäran.docx", "A 66246-2021")</f>
        <v/>
      </c>
      <c r="AC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46223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Ekticka
Rödvingetrast
Spillkråka</t>
        </is>
      </c>
      <c r="V7">
        <f>HYPERLINK("https://klasma.github.io/Logging_0428/artfynd/A 10541-2026 artfynd.xlsx", "A 10541-2026")</f>
        <v/>
      </c>
      <c r="W7">
        <f>HYPERLINK("https://klasma.github.io/Logging_0428/kartor/A 10541-2026 karta.png", "A 10541-2026")</f>
        <v/>
      </c>
      <c r="X7">
        <f>HYPERLINK("https://klasma.github.io/Logging_0428/kartor_geotiff/A 10541-2026 georefererad karta.tif", "A 10541-2026")</f>
        <v/>
      </c>
      <c r="Z7">
        <f>HYPERLINK("https://klasma.github.io/Logging_0428/klagomål/A 10541-2026 FSC-klagomål.docx", "A 10541-2026")</f>
        <v/>
      </c>
      <c r="AA7">
        <f>HYPERLINK("https://klasma.github.io/Logging_0428/klagomålsmail/A 10541-2026 FSC-klagomål mail.docx", "A 10541-2026")</f>
        <v/>
      </c>
      <c r="AB7">
        <f>HYPERLINK("https://klasma.github.io/Logging_0428/tillsyn/A 10541-2026 tillsynsbegäran.docx", "A 10541-2026")</f>
        <v/>
      </c>
      <c r="AC7">
        <f>HYPERLINK("https://klasma.github.io/Logging_0428/tillsynsmail/A 10541-2026 tillsynsbegäran mail.docx", "A 10541-2026")</f>
        <v/>
      </c>
      <c r="AD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46223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Jungfrulin
Vanlig backsmörblomma
Gullviva</t>
        </is>
      </c>
      <c r="V8">
        <f>HYPERLINK("https://klasma.github.io/Logging_0428/artfynd/A 1826-2023 artfynd.xlsx", "A 1826-2023")</f>
        <v/>
      </c>
      <c r="W8">
        <f>HYPERLINK("https://klasma.github.io/Logging_0428/kartor/A 1826-2023 karta.png", "A 1826-2023")</f>
        <v/>
      </c>
      <c r="X8">
        <f>HYPERLINK("https://klasma.github.io/Logging_0428/kartor_geotiff/A 1826-2023 georefererad karta.tif", "A 1826-2023")</f>
        <v/>
      </c>
      <c r="Z8">
        <f>HYPERLINK("https://klasma.github.io/Logging_0428/klagomål/A 1826-2023 FSC-klagomål.docx", "A 1826-2023")</f>
        <v/>
      </c>
      <c r="AA8">
        <f>HYPERLINK("https://klasma.github.io/Logging_0428/klagomålsmail/A 1826-2023 FSC-klagomål mail.docx", "A 1826-2023")</f>
        <v/>
      </c>
      <c r="AB8">
        <f>HYPERLINK("https://klasma.github.io/Logging_0428/tillsyn/A 1826-2023 tillsynsbegäran.docx", "A 1826-2023")</f>
        <v/>
      </c>
      <c r="AC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46223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Igelkott
Skogsknipprot
Blåsippa</t>
        </is>
      </c>
      <c r="V9">
        <f>HYPERLINK("https://klasma.github.io/Logging_0428/artfynd/A 30575-2022 artfynd.xlsx", "A 30575-2022")</f>
        <v/>
      </c>
      <c r="W9">
        <f>HYPERLINK("https://klasma.github.io/Logging_0428/kartor/A 30575-2022 karta.png", "A 30575-2022")</f>
        <v/>
      </c>
      <c r="X9">
        <f>HYPERLINK("https://klasma.github.io/Logging_0428/kartor_geotiff/A 30575-2022 georefererad karta.tif", "A 30575-2022")</f>
        <v/>
      </c>
      <c r="Z9">
        <f>HYPERLINK("https://klasma.github.io/Logging_0428/klagomål/A 30575-2022 FSC-klagomål.docx", "A 30575-2022")</f>
        <v/>
      </c>
      <c r="AA9">
        <f>HYPERLINK("https://klasma.github.io/Logging_0428/klagomålsmail/A 30575-2022 FSC-klagomål mail.docx", "A 30575-2022")</f>
        <v/>
      </c>
      <c r="AB9">
        <f>HYPERLINK("https://klasma.github.io/Logging_0428/tillsyn/A 30575-2022 tillsynsbegäran.docx", "A 30575-2022")</f>
        <v/>
      </c>
      <c r="AC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46223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X10">
        <f>HYPERLINK("https://klasma.github.io/Logging_0428/kartor_geotiff/S 2352-2022 georefererad karta.tif", "S 2352-2022")</f>
        <v/>
      </c>
      <c r="Z10">
        <f>HYPERLINK("https://klasma.github.io/Logging_0428/klagomål/S 2352-2022 FSC-klagomål.docx", "S 2352-2022")</f>
        <v/>
      </c>
      <c r="AA10">
        <f>HYPERLINK("https://klasma.github.io/Logging_0428/klagomålsmail/S 2352-2022 FSC-klagomål mail.docx", "S 2352-2022")</f>
        <v/>
      </c>
      <c r="AB10">
        <f>HYPERLINK("https://klasma.github.io/Logging_0428/tillsyn/S 2352-2022 tillsynsbegäran.docx", "S 2352-2022")</f>
        <v/>
      </c>
      <c r="AC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46223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X11">
        <f>HYPERLINK("https://klasma.github.io/Logging_0428/kartor_geotiff/A 7767-2022 georefererad karta.tif", "A 7767-2022")</f>
        <v/>
      </c>
      <c r="Z11">
        <f>HYPERLINK("https://klasma.github.io/Logging_0428/klagomål/A 7767-2022 FSC-klagomål.docx", "A 7767-2022")</f>
        <v/>
      </c>
      <c r="AA11">
        <f>HYPERLINK("https://klasma.github.io/Logging_0428/klagomålsmail/A 7767-2022 FSC-klagomål mail.docx", "A 7767-2022")</f>
        <v/>
      </c>
      <c r="AB11">
        <f>HYPERLINK("https://klasma.github.io/Logging_0428/tillsyn/A 7767-2022 tillsynsbegäran.docx", "A 7767-2022")</f>
        <v/>
      </c>
      <c r="AC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46223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X12">
        <f>HYPERLINK("https://klasma.github.io/Logging_0428/kartor_geotiff/A 57032-2021 georefererad karta.tif", "A 57032-2021")</f>
        <v/>
      </c>
      <c r="Z12">
        <f>HYPERLINK("https://klasma.github.io/Logging_0428/klagomål/A 57032-2021 FSC-klagomål.docx", "A 57032-2021")</f>
        <v/>
      </c>
      <c r="AA12">
        <f>HYPERLINK("https://klasma.github.io/Logging_0428/klagomålsmail/A 57032-2021 FSC-klagomål mail.docx", "A 57032-2021")</f>
        <v/>
      </c>
      <c r="AB12">
        <f>HYPERLINK("https://klasma.github.io/Logging_0428/tillsyn/A 57032-2021 tillsynsbegäran.docx", "A 57032-2021")</f>
        <v/>
      </c>
      <c r="AC12">
        <f>HYPERLINK("https://klasma.github.io/Logging_0428/tillsynsmail/A 57032-2021 tillsynsbegäran mail.docx", "A 57032-2021")</f>
        <v/>
      </c>
      <c r="AD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46223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HYPERLINK("https://klasma.github.io/Logging_0428/artfynd/A 57938-2025 artfynd.xlsx", "A 57938-2025")</f>
        <v/>
      </c>
      <c r="W13">
        <f>HYPERLINK("https://klasma.github.io/Logging_0428/kartor/A 57938-2025 karta.png", "A 57938-2025")</f>
        <v/>
      </c>
      <c r="X13">
        <f>HYPERLINK("https://klasma.github.io/Logging_0428/kartor_geotiff/A 57938-2025 georefererad karta.tif", "A 57938-2025")</f>
        <v/>
      </c>
      <c r="Z13">
        <f>HYPERLINK("https://klasma.github.io/Logging_0428/klagomål/A 57938-2025 FSC-klagomål.docx", "A 57938-2025")</f>
        <v/>
      </c>
      <c r="AA13">
        <f>HYPERLINK("https://klasma.github.io/Logging_0428/klagomålsmail/A 57938-2025 FSC-klagomål mail.docx", "A 57938-2025")</f>
        <v/>
      </c>
      <c r="AB13">
        <f>HYPERLINK("https://klasma.github.io/Logging_0428/tillsyn/A 57938-2025 tillsynsbegäran.docx", "A 57938-2025")</f>
        <v/>
      </c>
      <c r="AC13">
        <f>HYPERLINK("https://klasma.github.io/Logging_0428/tillsynsmail/A 57938-2025 tillsynsbegäran mail.docx", "A 57938-2025")</f>
        <v/>
      </c>
      <c r="AD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46223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58185-2025 artfynd.xlsx", "A 58185-2025")</f>
        <v/>
      </c>
      <c r="W14">
        <f>HYPERLINK("https://klasma.github.io/Logging_0428/kartor/A 58185-2025 karta.png", "A 58185-2025")</f>
        <v/>
      </c>
      <c r="X14">
        <f>HYPERLINK("https://klasma.github.io/Logging_0428/kartor_geotiff/A 58185-2025 georefererad karta.tif", "A 58185-2025")</f>
        <v/>
      </c>
      <c r="Z14">
        <f>HYPERLINK("https://klasma.github.io/Logging_0428/klagomål/A 58185-2025 FSC-klagomål.docx", "A 58185-2025")</f>
        <v/>
      </c>
      <c r="AA14">
        <f>HYPERLINK("https://klasma.github.io/Logging_0428/klagomålsmail/A 58185-2025 FSC-klagomål mail.docx", "A 58185-2025")</f>
        <v/>
      </c>
      <c r="AB14">
        <f>HYPERLINK("https://klasma.github.io/Logging_0428/tillsyn/A 58185-2025 tillsynsbegäran.docx", "A 58185-2025")</f>
        <v/>
      </c>
      <c r="AC14">
        <f>HYPERLINK("https://klasma.github.io/Logging_0428/tillsynsmail/A 58185-2025 tillsynsbegäran mail.docx", "A 58185-2025")</f>
        <v/>
      </c>
      <c r="AD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46223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46223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46223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46223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46223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46223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46223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46223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46223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46223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46223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46223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46223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46223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46223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46223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46223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46223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46223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46223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46223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46223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46223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46223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46223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46223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46223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46223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46223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46223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45321</v>
      </c>
      <c r="E45" s="1" t="n">
        <v>46223</v>
      </c>
      <c r="F45" t="inlineStr">
        <is>
          <t>SÖDERMANLANDS LÄN</t>
        </is>
      </c>
      <c r="G45" t="inlineStr">
        <is>
          <t>VINGÅKER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46223</v>
      </c>
      <c r="F46" t="inlineStr">
        <is>
          <t>SÖDERMANLANDS LÄN</t>
        </is>
      </c>
      <c r="G46" t="inlineStr">
        <is>
          <t>VINGÅKER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48627-2022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46223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48638-2022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46223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10154-2023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46223</v>
      </c>
      <c r="F49" t="inlineStr">
        <is>
          <t>SÖDERMANLANDS LÄN</t>
        </is>
      </c>
      <c r="G49" t="inlineStr">
        <is>
          <t>VINGÅKER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46223</v>
      </c>
      <c r="F50" t="inlineStr">
        <is>
          <t>SÖDERMANLANDS LÄN</t>
        </is>
      </c>
      <c r="G50" t="inlineStr">
        <is>
          <t>VINGÅKER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19645-2024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45432</v>
      </c>
      <c r="E51" s="1" t="n">
        <v>46223</v>
      </c>
      <c r="F51" t="inlineStr">
        <is>
          <t>SÖDERMANLANDS LÄN</t>
        </is>
      </c>
      <c r="G51" t="inlineStr">
        <is>
          <t>VINGÅKER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35131-2024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45529</v>
      </c>
      <c r="E52" s="1" t="n">
        <v>46223</v>
      </c>
      <c r="F52" t="inlineStr">
        <is>
          <t>SÖDERMANLANDS LÄN</t>
        </is>
      </c>
      <c r="G52" t="inlineStr">
        <is>
          <t>VINGÅKER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58842-2022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44903</v>
      </c>
      <c r="E53" s="1" t="n">
        <v>46223</v>
      </c>
      <c r="F53" t="inlineStr">
        <is>
          <t>SÖDERMANLANDS LÄN</t>
        </is>
      </c>
      <c r="G53" t="inlineStr">
        <is>
          <t>VINGÅKER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55730-2021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46223</v>
      </c>
      <c r="F54" t="inlineStr">
        <is>
          <t>SÖDERMANLANDS LÄN</t>
        </is>
      </c>
      <c r="G54" t="inlineStr">
        <is>
          <t>VINGÅKER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32279-2023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45109</v>
      </c>
      <c r="E55" s="1" t="n">
        <v>46223</v>
      </c>
      <c r="F55" t="inlineStr">
        <is>
          <t>SÖDERMANLANDS LÄN</t>
        </is>
      </c>
      <c r="G55" t="inlineStr">
        <is>
          <t>VINGÅKER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46223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55434-2021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46223</v>
      </c>
      <c r="F57" t="inlineStr">
        <is>
          <t>SÖDERMANLANDS LÄN</t>
        </is>
      </c>
      <c r="G57" t="inlineStr">
        <is>
          <t>VINGÅKER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46223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22866-2024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46223</v>
      </c>
      <c r="F59" t="inlineStr">
        <is>
          <t>SÖDERMANLANDS LÄN</t>
        </is>
      </c>
      <c r="G59" t="inlineStr">
        <is>
          <t>VINGÅKER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46223</v>
      </c>
      <c r="F60" t="inlineStr">
        <is>
          <t>SÖDERMANLANDS LÄN</t>
        </is>
      </c>
      <c r="G60" t="inlineStr">
        <is>
          <t>VINGÅKER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38534-2021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44407</v>
      </c>
      <c r="E61" s="1" t="n">
        <v>46223</v>
      </c>
      <c r="F61" t="inlineStr">
        <is>
          <t>SÖDERMANLANDS LÄN</t>
        </is>
      </c>
      <c r="G61" t="inlineStr">
        <is>
          <t>VINGÅKER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46223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9543-2022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44617</v>
      </c>
      <c r="E63" s="1" t="n">
        <v>46223</v>
      </c>
      <c r="F63" t="inlineStr">
        <is>
          <t>SÖDERMANLANDS LÄN</t>
        </is>
      </c>
      <c r="G63" t="inlineStr">
        <is>
          <t>VINGÅKER</t>
        </is>
      </c>
      <c r="H63" t="inlineStr">
        <is>
          <t>Kyrkan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61840-2022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46223</v>
      </c>
      <c r="F64" t="inlineStr">
        <is>
          <t>SÖDERMANLANDS LÄN</t>
        </is>
      </c>
      <c r="G64" t="inlineStr">
        <is>
          <t>VINGÅKER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61842-2022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46223</v>
      </c>
      <c r="F65" t="inlineStr">
        <is>
          <t>SÖDERMANLANDS LÄN</t>
        </is>
      </c>
      <c r="G65" t="inlineStr">
        <is>
          <t>VINGÅKER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60298-2022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46223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45041</v>
      </c>
      <c r="E67" s="1" t="n">
        <v>46223</v>
      </c>
      <c r="F67" t="inlineStr">
        <is>
          <t>SÖDERMANLANDS LÄN</t>
        </is>
      </c>
      <c r="G67" t="inlineStr">
        <is>
          <t>VINGÅKER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40831-2021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44421</v>
      </c>
      <c r="E68" s="1" t="n">
        <v>46223</v>
      </c>
      <c r="F68" t="inlineStr">
        <is>
          <t>SÖDERMANLANDS LÄN</t>
        </is>
      </c>
      <c r="G68" t="inlineStr">
        <is>
          <t>VINGÅKER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16495-2022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46223</v>
      </c>
      <c r="F69" t="inlineStr">
        <is>
          <t>SÖDERMANLANDS LÄN</t>
        </is>
      </c>
      <c r="G69" t="inlineStr">
        <is>
          <t>VINGÅKER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46223</v>
      </c>
      <c r="F70" t="inlineStr">
        <is>
          <t>SÖDERMANLANDS LÄN</t>
        </is>
      </c>
      <c r="G70" t="inlineStr">
        <is>
          <t>VINGÅKER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46223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49153-2024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46223</v>
      </c>
      <c r="F72" t="inlineStr">
        <is>
          <t>SÖDERMANLANDS LÄN</t>
        </is>
      </c>
      <c r="G72" t="inlineStr">
        <is>
          <t>VINGÅKER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46223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42416-2025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46223</v>
      </c>
      <c r="F74" t="inlineStr">
        <is>
          <t>SÖDERMANLANDS LÄN</t>
        </is>
      </c>
      <c r="G74" t="inlineStr">
        <is>
          <t>VINGÅKER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46223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39779-2024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45552</v>
      </c>
      <c r="E76" s="1" t="n">
        <v>46223</v>
      </c>
      <c r="F76" t="inlineStr">
        <is>
          <t>SÖDERMANLANDS LÄN</t>
        </is>
      </c>
      <c r="G76" t="inlineStr">
        <is>
          <t>VINGÅKER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25493-2025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46223</v>
      </c>
      <c r="F77" t="inlineStr">
        <is>
          <t>SÖDERMANLANDS LÄN</t>
        </is>
      </c>
      <c r="G77" t="inlineStr">
        <is>
          <t>VINGÅKER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12714-2025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46223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18241-2022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44685</v>
      </c>
      <c r="E79" s="1" t="n">
        <v>46223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60578-2021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46223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12716-2023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44999</v>
      </c>
      <c r="E81" s="1" t="n">
        <v>46223</v>
      </c>
      <c r="F81" t="inlineStr">
        <is>
          <t>SÖDERMANLANDS LÄN</t>
        </is>
      </c>
      <c r="G81" t="inlineStr">
        <is>
          <t>VINGÅKER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45880</v>
      </c>
      <c r="E82" s="1" t="n">
        <v>46223</v>
      </c>
      <c r="F82" t="inlineStr">
        <is>
          <t>SÖDERMANLANDS LÄN</t>
        </is>
      </c>
      <c r="G82" t="inlineStr">
        <is>
          <t>VINGÅKER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46223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60578-2021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46223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29490-2024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46223</v>
      </c>
      <c r="F85" t="inlineStr">
        <is>
          <t>SÖDERMANLANDS LÄN</t>
        </is>
      </c>
      <c r="G85" t="inlineStr">
        <is>
          <t>VINGÅKER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20192-2023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45051</v>
      </c>
      <c r="E86" s="1" t="n">
        <v>46223</v>
      </c>
      <c r="F86" t="inlineStr">
        <is>
          <t>SÖDERMANLANDS LÄN</t>
        </is>
      </c>
      <c r="G86" t="inlineStr">
        <is>
          <t>VINGÅKER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53316-2025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45959</v>
      </c>
      <c r="E87" s="1" t="n">
        <v>46223</v>
      </c>
      <c r="F87" t="inlineStr">
        <is>
          <t>SÖDERMANLANDS LÄN</t>
        </is>
      </c>
      <c r="G87" t="inlineStr">
        <is>
          <t>VINGÅKER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45162-2023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46223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10546-2026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46223</v>
      </c>
      <c r="F89" t="inlineStr">
        <is>
          <t>SÖDERMANLANDS LÄN</t>
        </is>
      </c>
      <c r="G89" t="inlineStr">
        <is>
          <t>VINGÅKER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10549-2026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46223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45297</v>
      </c>
      <c r="E91" s="1" t="n">
        <v>46223</v>
      </c>
      <c r="F91" t="inlineStr">
        <is>
          <t>SÖDERMANLANDS LÄN</t>
        </is>
      </c>
      <c r="G91" t="inlineStr">
        <is>
          <t>VINGÅKER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20301-2025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45774</v>
      </c>
      <c r="E92" s="1" t="n">
        <v>46223</v>
      </c>
      <c r="F92" t="inlineStr">
        <is>
          <t>SÖDERMANLANDS LÄN</t>
        </is>
      </c>
      <c r="G92" t="inlineStr">
        <is>
          <t>VINGÅKER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21160-2024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46223</v>
      </c>
      <c r="F93" t="inlineStr">
        <is>
          <t>SÖDERMANLANDS LÄN</t>
        </is>
      </c>
      <c r="G93" t="inlineStr">
        <is>
          <t>VINGÅKER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46223</v>
      </c>
      <c r="F94" t="inlineStr">
        <is>
          <t>SÖDERMANLANDS LÄN</t>
        </is>
      </c>
      <c r="G94" t="inlineStr">
        <is>
          <t>VINGÅKER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46223</v>
      </c>
      <c r="F95" t="inlineStr">
        <is>
          <t>SÖDERMANLANDS LÄN</t>
        </is>
      </c>
      <c r="G95" t="inlineStr">
        <is>
          <t>VINGÅKER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46223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46223</v>
      </c>
      <c r="F97" t="inlineStr">
        <is>
          <t>SÖDERMANLANDS LÄN</t>
        </is>
      </c>
      <c r="G97" t="inlineStr">
        <is>
          <t>VINGÅKER</t>
        </is>
      </c>
      <c r="H97" t="inlineStr">
        <is>
          <t>Sveaskog</t>
        </is>
      </c>
      <c r="I97" t="n">
        <v>15.9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58174-2025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45982</v>
      </c>
      <c r="E98" s="1" t="n">
        <v>46223</v>
      </c>
      <c r="F98" t="inlineStr">
        <is>
          <t>SÖDERMANLANDS LÄN</t>
        </is>
      </c>
      <c r="G98" t="inlineStr">
        <is>
          <t>VINGÅKER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55092-2023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45237</v>
      </c>
      <c r="E99" s="1" t="n">
        <v>46223</v>
      </c>
      <c r="F99" t="inlineStr">
        <is>
          <t>SÖDERMANLANDS LÄN</t>
        </is>
      </c>
      <c r="G99" t="inlineStr">
        <is>
          <t>VINGÅKER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54780-2023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46223</v>
      </c>
      <c r="F100" t="inlineStr">
        <is>
          <t>SÖDERMANLANDS LÄN</t>
        </is>
      </c>
      <c r="G100" t="inlineStr">
        <is>
          <t>VINGÅKER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19861-2023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45053</v>
      </c>
      <c r="E101" s="1" t="n">
        <v>46223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46223</v>
      </c>
      <c r="F102" t="inlineStr">
        <is>
          <t>SÖDERMANLANDS LÄN</t>
        </is>
      </c>
      <c r="G102" t="inlineStr">
        <is>
          <t>VINGÅKER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8997-2026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46069</v>
      </c>
      <c r="E103" s="1" t="n">
        <v>46223</v>
      </c>
      <c r="F103" t="inlineStr">
        <is>
          <t>SÖDERMANLANDS LÄN</t>
        </is>
      </c>
      <c r="G103" t="inlineStr">
        <is>
          <t>VINGÅKER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46223</v>
      </c>
      <c r="F104" t="inlineStr">
        <is>
          <t>SÖDERMANLANDS LÄN</t>
        </is>
      </c>
      <c r="G104" t="inlineStr">
        <is>
          <t>VINGÅKER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54978-2021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46223</v>
      </c>
      <c r="F105" t="inlineStr">
        <is>
          <t>SÖDERMANLANDS LÄN</t>
        </is>
      </c>
      <c r="G105" t="inlineStr">
        <is>
          <t>VINGÅKER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46223</v>
      </c>
      <c r="F106" t="inlineStr">
        <is>
          <t>SÖDERMANLANDS LÄN</t>
        </is>
      </c>
      <c r="G106" t="inlineStr">
        <is>
          <t>VINGÅKER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46223</v>
      </c>
      <c r="F107" t="inlineStr">
        <is>
          <t>SÖDERMANLANDS LÄN</t>
        </is>
      </c>
      <c r="G107" t="inlineStr">
        <is>
          <t>VINGÅKER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46223</v>
      </c>
      <c r="F108" t="inlineStr">
        <is>
          <t>SÖDERMANLANDS LÄN</t>
        </is>
      </c>
      <c r="G108" t="inlineStr">
        <is>
          <t>VINGÅKER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46223</v>
      </c>
      <c r="F109" t="inlineStr">
        <is>
          <t>SÖDERMANLANDS LÄN</t>
        </is>
      </c>
      <c r="G109" t="inlineStr">
        <is>
          <t>VINGÅKER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61576-2025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46002</v>
      </c>
      <c r="E110" s="1" t="n">
        <v>46223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46223</v>
      </c>
      <c r="F111" t="inlineStr">
        <is>
          <t>SÖDERMANLANDS LÄN</t>
        </is>
      </c>
      <c r="G111" t="inlineStr">
        <is>
          <t>VINGÅKER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48550-2021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46223</v>
      </c>
      <c r="F112" t="inlineStr">
        <is>
          <t>SÖDERMANLANDS LÄN</t>
        </is>
      </c>
      <c r="G112" t="inlineStr">
        <is>
          <t>VINGÅKER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46223</v>
      </c>
      <c r="F113" t="inlineStr">
        <is>
          <t>SÖDERMANLANDS LÄN</t>
        </is>
      </c>
      <c r="G113" t="inlineStr">
        <is>
          <t>VINGÅKER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63614-2023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46223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45120</v>
      </c>
      <c r="E115" s="1" t="n">
        <v>46223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16071-2023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46223</v>
      </c>
      <c r="F116" t="inlineStr">
        <is>
          <t>SÖDERMANLANDS LÄN</t>
        </is>
      </c>
      <c r="G116" t="inlineStr">
        <is>
          <t>VINGÅKER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46023</v>
      </c>
      <c r="E117" s="1" t="n">
        <v>46223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10440-2022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44623</v>
      </c>
      <c r="E118" s="1" t="n">
        <v>46223</v>
      </c>
      <c r="F118" t="inlineStr">
        <is>
          <t>SÖDERMANLANDS LÄN</t>
        </is>
      </c>
      <c r="G118" t="inlineStr">
        <is>
          <t>VINGÅKER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46223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63584-2023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46223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48644-2022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46223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46223</v>
      </c>
      <c r="F122" t="inlineStr">
        <is>
          <t>SÖDERMANLANDS LÄN</t>
        </is>
      </c>
      <c r="G122" t="inlineStr">
        <is>
          <t>VINGÅKER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44990</v>
      </c>
      <c r="E123" s="1" t="n">
        <v>46223</v>
      </c>
      <c r="F123" t="inlineStr">
        <is>
          <t>SÖDERMANLANDS LÄN</t>
        </is>
      </c>
      <c r="G123" t="inlineStr">
        <is>
          <t>VINGÅKER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19165-2024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46223</v>
      </c>
      <c r="F124" t="inlineStr">
        <is>
          <t>SÖDERMANLANDS LÄN</t>
        </is>
      </c>
      <c r="G124" t="inlineStr">
        <is>
          <t>VINGÅKER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17731-2026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46121</v>
      </c>
      <c r="E125" s="1" t="n">
        <v>46223</v>
      </c>
      <c r="F125" t="inlineStr">
        <is>
          <t>SÖDERMANLANDS LÄN</t>
        </is>
      </c>
      <c r="G125" t="inlineStr">
        <is>
          <t>VINGÅKER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41870-2023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45174</v>
      </c>
      <c r="E126" s="1" t="n">
        <v>46223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46223</v>
      </c>
      <c r="F127" t="inlineStr">
        <is>
          <t>SÖDERMANLANDS LÄN</t>
        </is>
      </c>
      <c r="G127" t="inlineStr">
        <is>
          <t>VINGÅKER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45302</v>
      </c>
      <c r="E128" s="1" t="n">
        <v>46223</v>
      </c>
      <c r="F128" t="inlineStr">
        <is>
          <t>SÖDERMANLANDS LÄN</t>
        </is>
      </c>
      <c r="G128" t="inlineStr">
        <is>
          <t>VINGÅKER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17768-2024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46223</v>
      </c>
      <c r="F129" t="inlineStr">
        <is>
          <t>SÖDERMANLANDS LÄN</t>
        </is>
      </c>
      <c r="G129" t="inlineStr">
        <is>
          <t>VINGÅKER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46223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Kyrkan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46223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46223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46223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46223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46223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19792-2026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46135</v>
      </c>
      <c r="E136" s="1" t="n">
        <v>46223</v>
      </c>
      <c r="F136" t="inlineStr">
        <is>
          <t>SÖDERMANLANDS LÄN</t>
        </is>
      </c>
      <c r="G136" t="inlineStr">
        <is>
          <t>VINGÅKER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57632-2024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46223</v>
      </c>
      <c r="F137" t="inlineStr">
        <is>
          <t>SÖDERMANLANDS LÄN</t>
        </is>
      </c>
      <c r="G137" t="inlineStr">
        <is>
          <t>VINGÅKER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19920-2026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46223</v>
      </c>
      <c r="F138" t="inlineStr">
        <is>
          <t>SÖDERMANLANDS LÄN</t>
        </is>
      </c>
      <c r="G138" t="inlineStr">
        <is>
          <t>VINGÅKER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46223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46223</v>
      </c>
      <c r="F140" t="inlineStr">
        <is>
          <t>SÖDERMANLANDS LÄN</t>
        </is>
      </c>
      <c r="G140" t="inlineStr">
        <is>
          <t>VINGÅKER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26147-2026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46223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42564-2023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46223</v>
      </c>
      <c r="F142" t="inlineStr">
        <is>
          <t>SÖDERMANLANDS LÄN</t>
        </is>
      </c>
      <c r="G142" t="inlineStr">
        <is>
          <t>VINGÅKER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14087-2022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44651</v>
      </c>
      <c r="E143" s="1" t="n">
        <v>46223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26141-2026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46223</v>
      </c>
      <c r="F144" t="inlineStr">
        <is>
          <t>SÖDERMANLANDS LÄN</t>
        </is>
      </c>
      <c r="G144" t="inlineStr">
        <is>
          <t>VINGÅKER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24405-2023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46223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46223</v>
      </c>
      <c r="F146" t="inlineStr">
        <is>
          <t>SÖDERMANLANDS LÄN</t>
        </is>
      </c>
      <c r="G146" t="inlineStr">
        <is>
          <t>VINGÅKER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46223</v>
      </c>
      <c r="F147" t="inlineStr">
        <is>
          <t>SÖDERMANLANDS LÄN</t>
        </is>
      </c>
      <c r="G147" t="inlineStr">
        <is>
          <t>VINGÅKER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22135-2023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46223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26142-2026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46223</v>
      </c>
      <c r="F149" t="inlineStr">
        <is>
          <t>SÖDERMANLANDS LÄN</t>
        </is>
      </c>
      <c r="G149" t="inlineStr">
        <is>
          <t>VINGÅKER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26155-2026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46223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55824-2023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46223</v>
      </c>
      <c r="F151" t="inlineStr">
        <is>
          <t>SÖDERMANLANDS LÄN</t>
        </is>
      </c>
      <c r="G151" t="inlineStr">
        <is>
          <t>VINGÅKER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46464-2024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46223</v>
      </c>
      <c r="F152" t="inlineStr">
        <is>
          <t>SÖDERMANLANDS LÄN</t>
        </is>
      </c>
      <c r="G152" t="inlineStr">
        <is>
          <t>VINGÅKER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26143-2026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46223</v>
      </c>
      <c r="F153" t="inlineStr">
        <is>
          <t>SÖDERMANLANDS LÄN</t>
        </is>
      </c>
      <c r="G153" t="inlineStr">
        <is>
          <t>VINGÅKER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26144-2026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46223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26146-2026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46223</v>
      </c>
      <c r="F155" t="inlineStr">
        <is>
          <t>SÖDERMANLANDS LÄN</t>
        </is>
      </c>
      <c r="G155" t="inlineStr">
        <is>
          <t>VINGÅKER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12861-2022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46223</v>
      </c>
      <c r="F156" t="inlineStr">
        <is>
          <t>SÖDERMANLANDS LÄN</t>
        </is>
      </c>
      <c r="G156" t="inlineStr">
        <is>
          <t>VINGÅKER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58801-2025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46223</v>
      </c>
      <c r="F157" t="inlineStr">
        <is>
          <t>SÖDERMANLANDS LÄN</t>
        </is>
      </c>
      <c r="G157" t="inlineStr">
        <is>
          <t>VINGÅKER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46223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20243-2026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46223</v>
      </c>
      <c r="F159" t="inlineStr">
        <is>
          <t>SÖDERMANLANDS LÄN</t>
        </is>
      </c>
      <c r="G159" t="inlineStr">
        <is>
          <t>VINGÅKER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46223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45792-2023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46223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58806-2023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45247</v>
      </c>
      <c r="E162" s="1" t="n">
        <v>46223</v>
      </c>
      <c r="F162" t="inlineStr">
        <is>
          <t>SÖDERMANLANDS LÄN</t>
        </is>
      </c>
      <c r="G162" t="inlineStr">
        <is>
          <t>VINGÅKER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26086-2022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46223</v>
      </c>
      <c r="F163" t="inlineStr">
        <is>
          <t>SÖDERMANLANDS LÄN</t>
        </is>
      </c>
      <c r="G163" t="inlineStr">
        <is>
          <t>VINGÅKER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34159-2022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44791</v>
      </c>
      <c r="E164" s="1" t="n">
        <v>46223</v>
      </c>
      <c r="F164" t="inlineStr">
        <is>
          <t>SÖDERMANLANDS LÄN</t>
        </is>
      </c>
      <c r="G164" t="inlineStr">
        <is>
          <t>VINGÅKER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46223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45135</v>
      </c>
      <c r="E166" s="1" t="n">
        <v>46223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Övriga Aktiebolag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17178-2025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46223</v>
      </c>
      <c r="F167" t="inlineStr">
        <is>
          <t>SÖDERMANLANDS LÄN</t>
        </is>
      </c>
      <c r="G167" t="inlineStr">
        <is>
          <t>VINGÅKER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46223</v>
      </c>
      <c r="F168" t="inlineStr">
        <is>
          <t>SÖDERMANLANDS LÄN</t>
        </is>
      </c>
      <c r="G168" t="inlineStr">
        <is>
          <t>VINGÅKER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17797-2025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45758</v>
      </c>
      <c r="E169" s="1" t="n">
        <v>46223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17169-2025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46223</v>
      </c>
      <c r="F170" t="inlineStr">
        <is>
          <t>SÖDERMANLANDS LÄN</t>
        </is>
      </c>
      <c r="G170" t="inlineStr">
        <is>
          <t>VINGÅKER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45317</v>
      </c>
      <c r="E171" s="1" t="n">
        <v>46223</v>
      </c>
      <c r="F171" t="inlineStr">
        <is>
          <t>SÖDERMANLANDS LÄN</t>
        </is>
      </c>
      <c r="G171" t="inlineStr">
        <is>
          <t>VINGÅKER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46223</v>
      </c>
      <c r="F172" t="inlineStr">
        <is>
          <t>SÖDERMANLANDS LÄN</t>
        </is>
      </c>
      <c r="G172" t="inlineStr">
        <is>
          <t>VINGÅKER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46223</v>
      </c>
      <c r="F173" t="inlineStr">
        <is>
          <t>SÖDERMANLANDS LÄN</t>
        </is>
      </c>
      <c r="G173" t="inlineStr">
        <is>
          <t>VINGÅKER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50756-2023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46223</v>
      </c>
      <c r="F174" t="inlineStr">
        <is>
          <t>SÖDERMANLANDS LÄN</t>
        </is>
      </c>
      <c r="G174" t="inlineStr">
        <is>
          <t>VINGÅKER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32316-2023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46223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17435-2022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46223</v>
      </c>
      <c r="F176" t="inlineStr">
        <is>
          <t>SÖDERMANLANDS LÄN</t>
        </is>
      </c>
      <c r="G176" t="inlineStr">
        <is>
          <t>VINGÅKER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21551-2026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46223</v>
      </c>
      <c r="F177" t="inlineStr">
        <is>
          <t>SÖDERMANLANDS LÄN</t>
        </is>
      </c>
      <c r="G177" t="inlineStr">
        <is>
          <t>VINGÅKER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7825-2022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44608</v>
      </c>
      <c r="E178" s="1" t="n">
        <v>46223</v>
      </c>
      <c r="F178" t="inlineStr">
        <is>
          <t>SÖDERMANLANDS LÄN</t>
        </is>
      </c>
      <c r="G178" t="inlineStr">
        <is>
          <t>VINGÅKER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56627-2023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46223</v>
      </c>
      <c r="F179" t="inlineStr">
        <is>
          <t>SÖDERMANLANDS LÄN</t>
        </is>
      </c>
      <c r="G179" t="inlineStr">
        <is>
          <t>VINGÅKER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27978-2026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46223</v>
      </c>
      <c r="F180" t="inlineStr">
        <is>
          <t>SÖDERMANLANDS LÄN</t>
        </is>
      </c>
      <c r="G180" t="inlineStr">
        <is>
          <t>VINGÅKER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45731-2025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45923</v>
      </c>
      <c r="E181" s="1" t="n">
        <v>46223</v>
      </c>
      <c r="F181" t="inlineStr">
        <is>
          <t>SÖDERMANLANDS LÄN</t>
        </is>
      </c>
      <c r="G181" t="inlineStr">
        <is>
          <t>VINGÅKER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45149-2023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46223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11376-2023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44990</v>
      </c>
      <c r="E183" s="1" t="n">
        <v>46223</v>
      </c>
      <c r="F183" t="inlineStr">
        <is>
          <t>SÖDERMANLANDS LÄN</t>
        </is>
      </c>
      <c r="G183" t="inlineStr">
        <is>
          <t>VINGÅKER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61534-2022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44910</v>
      </c>
      <c r="E184" s="1" t="n">
        <v>46223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46223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46223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45425-2024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46223</v>
      </c>
      <c r="F187" t="inlineStr">
        <is>
          <t>SÖDERMANLANDS LÄN</t>
        </is>
      </c>
      <c r="G187" t="inlineStr">
        <is>
          <t>VINGÅKER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42446-2025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46223</v>
      </c>
      <c r="F188" t="inlineStr">
        <is>
          <t>SÖDERMANLANDS LÄN</t>
        </is>
      </c>
      <c r="G188" t="inlineStr">
        <is>
          <t>VINGÅKER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35257-2022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44798</v>
      </c>
      <c r="E189" s="1" t="n">
        <v>46223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7136-2024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45343</v>
      </c>
      <c r="E190" s="1" t="n">
        <v>46223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22835-2023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45072</v>
      </c>
      <c r="E191" s="1" t="n">
        <v>46223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46223</v>
      </c>
      <c r="F192" t="inlineStr">
        <is>
          <t>SÖDERMANLANDS LÄN</t>
        </is>
      </c>
      <c r="G192" t="inlineStr">
        <is>
          <t>VINGÅKER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36649-2023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46223</v>
      </c>
      <c r="F193" t="inlineStr">
        <is>
          <t>SÖDERMANLANDS LÄN</t>
        </is>
      </c>
      <c r="G193" t="inlineStr">
        <is>
          <t>VINGÅKER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46223</v>
      </c>
      <c r="F194" t="inlineStr">
        <is>
          <t>SÖDERMANLANDS LÄN</t>
        </is>
      </c>
      <c r="G194" t="inlineStr">
        <is>
          <t>VINGÅKER</t>
        </is>
      </c>
      <c r="I194" t="n">
        <v>13.4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44573</v>
      </c>
      <c r="E195" s="1" t="n">
        <v>46223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48620-2022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46223</v>
      </c>
      <c r="F196" t="inlineStr">
        <is>
          <t>SÖDERMANLANDS LÄN</t>
        </is>
      </c>
      <c r="G196" t="inlineStr">
        <is>
          <t>VINGÅKER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14597-2023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46223</v>
      </c>
      <c r="F197" t="inlineStr">
        <is>
          <t>SÖDERMANLANDS LÄN</t>
        </is>
      </c>
      <c r="G197" t="inlineStr">
        <is>
          <t>VINGÅKER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50099-2024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46223</v>
      </c>
      <c r="F198" t="inlineStr">
        <is>
          <t>SÖDERMANLANDS LÄN</t>
        </is>
      </c>
      <c r="G198" t="inlineStr">
        <is>
          <t>VINGÅKER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23429-2023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46223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46223</v>
      </c>
      <c r="F200" t="inlineStr">
        <is>
          <t>SÖDERMANLANDS LÄN</t>
        </is>
      </c>
      <c r="G200" t="inlineStr">
        <is>
          <t>VINGÅKER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42084-2023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46223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64770-2023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46223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46223</v>
      </c>
      <c r="F203" t="inlineStr">
        <is>
          <t>SÖDERMANLANDS LÄN</t>
        </is>
      </c>
      <c r="G203" t="inlineStr">
        <is>
          <t>VINGÅKER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46223</v>
      </c>
      <c r="F204" t="inlineStr">
        <is>
          <t>SÖDERMANLANDS LÄN</t>
        </is>
      </c>
      <c r="G204" t="inlineStr">
        <is>
          <t>VINGÅKER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44938</v>
      </c>
      <c r="E205" s="1" t="n">
        <v>46223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8465-2023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46223</v>
      </c>
      <c r="F206" t="inlineStr">
        <is>
          <t>SÖDERMANLANDS LÄN</t>
        </is>
      </c>
      <c r="G206" t="inlineStr">
        <is>
          <t>VINGÅKER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63764-2023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46223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48631-2022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44859</v>
      </c>
      <c r="E208" s="1" t="n">
        <v>46223</v>
      </c>
      <c r="F208" t="inlineStr">
        <is>
          <t>SÖDERMANLANDS LÄN</t>
        </is>
      </c>
      <c r="G208" t="inlineStr">
        <is>
          <t>VINGÅKER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58908-2024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46223</v>
      </c>
      <c r="F209" t="inlineStr">
        <is>
          <t>SÖDERMANLANDS LÄN</t>
        </is>
      </c>
      <c r="G209" t="inlineStr">
        <is>
          <t>VINGÅKER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46223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58224-2022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46223</v>
      </c>
      <c r="F211" t="inlineStr">
        <is>
          <t>SÖDERMANLANDS LÄN</t>
        </is>
      </c>
      <c r="G211" t="inlineStr">
        <is>
          <t>VINGÅKER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45053</v>
      </c>
      <c r="E212" s="1" t="n">
        <v>46223</v>
      </c>
      <c r="F212" t="inlineStr">
        <is>
          <t>SÖDERMANLANDS LÄN</t>
        </is>
      </c>
      <c r="G212" t="inlineStr">
        <is>
          <t>VINGÅKER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57608-2024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46223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27341-2022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46223</v>
      </c>
      <c r="F214" t="inlineStr">
        <is>
          <t>SÖDERMANLANDS LÄN</t>
        </is>
      </c>
      <c r="G214" t="inlineStr">
        <is>
          <t>VINGÅKER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61578-2025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46223</v>
      </c>
      <c r="F215" t="inlineStr">
        <is>
          <t>SÖDERMANLANDS LÄN</t>
        </is>
      </c>
      <c r="G215" t="inlineStr">
        <is>
          <t>VINGÅKER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46223</v>
      </c>
      <c r="F216" t="inlineStr">
        <is>
          <t>SÖDERMANLANDS LÄN</t>
        </is>
      </c>
      <c r="G216" t="inlineStr">
        <is>
          <t>VINGÅKER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31375-2026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46213</v>
      </c>
      <c r="E217" s="1" t="n">
        <v>46223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31377-2026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46223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45285</v>
      </c>
      <c r="E219" s="1" t="n">
        <v>46223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46223</v>
      </c>
      <c r="F220" t="inlineStr">
        <is>
          <t>SÖDERMANLANDS LÄN</t>
        </is>
      </c>
      <c r="G220" t="inlineStr">
        <is>
          <t>VINGÅKER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46223</v>
      </c>
      <c r="F221" t="inlineStr">
        <is>
          <t>SÖDERMANLANDS LÄN</t>
        </is>
      </c>
      <c r="G221" t="inlineStr">
        <is>
          <t>VINGÅKER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46223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46223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46223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46223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46223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46223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46223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46223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16986-2025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46223</v>
      </c>
      <c r="F230" t="inlineStr">
        <is>
          <t>SÖDERMANLANDS LÄN</t>
        </is>
      </c>
      <c r="G230" t="inlineStr">
        <is>
          <t>VINGÅKER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46223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46223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46223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46223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46223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46223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46223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46223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46223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2026-07-20T01:46:54Z</dcterms:created>
  <dcterms:modified xmlns:dcterms="http://purl.org/dc/terms/" xmlns:xsi="http://www.w3.org/2001/XMLSchema-instance" xsi:type="dcterms:W3CDTF">2026-07-20T01:46:54Z</dcterms:modified>
</cp:coreProperties>
</file>