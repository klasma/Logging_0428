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46254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46254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46254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46254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46254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t="n">
        <v>4</v>
      </c>
      <c r="V6" s="2" t="inlineStr">
        <is>
          <t>Hällebräcka
Gullpudra
Gulsparv
Buskskvätta</t>
        </is>
      </c>
      <c r="W6">
        <f>HYPERLINK("https://klasma.github.io/Logging_0428/artfynd/A 43704-2021 artfynd.xlsx", "A 43704-2021")</f>
        <v/>
      </c>
      <c r="X6">
        <f>HYPERLINK("https://klasma.github.io/Logging_0428/kartor/A 43704-2021 karta.png", "A 43704-2021")</f>
        <v/>
      </c>
      <c r="Y6">
        <f>HYPERLINK("https://klasma.github.io/Logging_0428/kartor_geotiff/A 43704-2021 georefererad karta.tif", "A 43704-2021")</f>
        <v/>
      </c>
      <c r="AA6">
        <f>HYPERLINK("https://klasma.github.io/Logging_0428/klagomål/A 43704-2021 FSC-klagomål.docx", "A 43704-2021")</f>
        <v/>
      </c>
      <c r="AB6">
        <f>HYPERLINK("https://klasma.github.io/Logging_0428/klagomålsmail/A 43704-2021 FSC-klagomål mail.docx", "A 43704-2021")</f>
        <v/>
      </c>
      <c r="AC6">
        <f>HYPERLINK("https://klasma.github.io/Logging_0428/tillsyn/A 43704-2021 tillsynsbegäran.docx", "A 43704-2021")</f>
        <v/>
      </c>
      <c r="AD6">
        <f>HYPERLINK("https://klasma.github.io/Logging_0428/tillsynsmail/A 43704-2021 tillsynsbegäran mail.docx", "A 43704-2021")</f>
        <v/>
      </c>
      <c r="AE6">
        <f>HYPERLINK("https://klasma.github.io/Logging_0428/fåglar/A 43704-2021 prioriterade fågelarter.docx", "A 43704-2021")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46254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46254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A 10541-2026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46077</v>
      </c>
      <c r="E9" s="1" t="n">
        <v>46254</v>
      </c>
      <c r="F9" t="inlineStr">
        <is>
          <t>SÖDERMANLANDS LÄN</t>
        </is>
      </c>
      <c r="G9" t="inlineStr">
        <is>
          <t>VINGÅKER</t>
        </is>
      </c>
      <c r="I9" t="n">
        <v>2.5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Ekticka
Rödvingetrast
Spillkråka</t>
        </is>
      </c>
      <c r="W9">
        <f>HYPERLINK("https://klasma.github.io/Logging_0428/artfynd/A 10541-2026 artfynd.xlsx", "A 10541-2026")</f>
        <v/>
      </c>
      <c r="X9">
        <f>HYPERLINK("https://klasma.github.io/Logging_0428/kartor/A 10541-2026 karta.png", "A 10541-2026")</f>
        <v/>
      </c>
      <c r="Y9">
        <f>HYPERLINK("https://klasma.github.io/Logging_0428/kartor_geotiff/A 10541-2026 georefererad karta.tif", "A 10541-2026")</f>
        <v/>
      </c>
      <c r="AA9">
        <f>HYPERLINK("https://klasma.github.io/Logging_0428/klagomål/A 10541-2026 FSC-klagomål.docx", "A 10541-2026")</f>
        <v/>
      </c>
      <c r="AB9">
        <f>HYPERLINK("https://klasma.github.io/Logging_0428/klagomålsmail/A 10541-2026 FSC-klagomål mail.docx", "A 10541-2026")</f>
        <v/>
      </c>
      <c r="AC9">
        <f>HYPERLINK("https://klasma.github.io/Logging_0428/tillsyn/A 10541-2026 tillsynsbegäran.docx", "A 10541-2026")</f>
        <v/>
      </c>
      <c r="AD9">
        <f>HYPERLINK("https://klasma.github.io/Logging_0428/tillsynsmail/A 10541-2026 tillsynsbegäran mail.docx", "A 10541-2026")</f>
        <v/>
      </c>
      <c r="AE9">
        <f>HYPERLINK("https://klasma.github.io/Logging_0428/fåglar/A 10541-2026 prioriterade fågelarter.docx", "A 10541-2026")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46254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46254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46254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46254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46254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57938-2025 artfynd.xlsx", "A 57938-2025")</f>
        <v/>
      </c>
      <c r="X14">
        <f>HYPERLINK("https://klasma.github.io/Logging_0428/kartor/A 57938-2025 karta.png", "A 57938-2025")</f>
        <v/>
      </c>
      <c r="Y14">
        <f>HYPERLINK("https://klasma.github.io/Logging_0428/kartor_geotiff/A 57938-2025 georefererad karta.tif", "A 57938-2025")</f>
        <v/>
      </c>
      <c r="AA14">
        <f>HYPERLINK("https://klasma.github.io/Logging_0428/klagomål/A 57938-2025 FSC-klagomål.docx", "A 57938-2025")</f>
        <v/>
      </c>
      <c r="AB14">
        <f>HYPERLINK("https://klasma.github.io/Logging_0428/klagomålsmail/A 57938-2025 FSC-klagomål mail.docx", "A 57938-2025")</f>
        <v/>
      </c>
      <c r="AC14">
        <f>HYPERLINK("https://klasma.github.io/Logging_0428/tillsyn/A 57938-2025 tillsynsbegäran.docx", "A 57938-2025")</f>
        <v/>
      </c>
      <c r="AD14">
        <f>HYPERLINK("https://klasma.github.io/Logging_0428/tillsynsmail/A 57938-2025 tillsynsbegäran mail.docx", "A 57938-2025")</f>
        <v/>
      </c>
      <c r="AE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46254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46254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46254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46254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46254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46254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46254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46254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46254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46254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46254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46254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46254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44462</v>
      </c>
      <c r="E28" s="1" t="n">
        <v>46254</v>
      </c>
      <c r="F28" t="inlineStr">
        <is>
          <t>SÖDERMANLANDS LÄN</t>
        </is>
      </c>
      <c r="G28" t="inlineStr">
        <is>
          <t>VINGÅKER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43868-2021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46254</v>
      </c>
      <c r="F29" t="inlineStr">
        <is>
          <t>SÖDERMANLANDS LÄN</t>
        </is>
      </c>
      <c r="G29" t="inlineStr">
        <is>
          <t>VINGÅKER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46254</v>
      </c>
      <c r="F30" t="inlineStr">
        <is>
          <t>SÖDERMANLANDS LÄN</t>
        </is>
      </c>
      <c r="G30" t="inlineStr">
        <is>
          <t>VINGÅKER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64406-2021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46254</v>
      </c>
      <c r="F31" t="inlineStr">
        <is>
          <t>SÖDERMANLANDS LÄN</t>
        </is>
      </c>
      <c r="G31" t="inlineStr">
        <is>
          <t>VINGÅKER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42161-2022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44830</v>
      </c>
      <c r="E32" s="1" t="n">
        <v>46254</v>
      </c>
      <c r="F32" t="inlineStr">
        <is>
          <t>SÖDERMANLANDS LÄN</t>
        </is>
      </c>
      <c r="G32" t="inlineStr">
        <is>
          <t>VINGÅKER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46254</v>
      </c>
      <c r="F33" t="inlineStr">
        <is>
          <t>SÖDERMANLANDS LÄN</t>
        </is>
      </c>
      <c r="G33" t="inlineStr">
        <is>
          <t>VINGÅKER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55645-2022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44888</v>
      </c>
      <c r="E34" s="1" t="n">
        <v>46254</v>
      </c>
      <c r="F34" t="inlineStr">
        <is>
          <t>SÖDERMANLANDS LÄN</t>
        </is>
      </c>
      <c r="G34" t="inlineStr">
        <is>
          <t>VINGÅKER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11326-2022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44629</v>
      </c>
      <c r="E35" s="1" t="n">
        <v>46254</v>
      </c>
      <c r="F35" t="inlineStr">
        <is>
          <t>SÖDERMANLANDS LÄN</t>
        </is>
      </c>
      <c r="G35" t="inlineStr">
        <is>
          <t>VINGÅKER</t>
        </is>
      </c>
      <c r="I35" t="n">
        <v>10.4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46254</v>
      </c>
      <c r="F36" t="inlineStr">
        <is>
          <t>SÖDERMANLANDS LÄN</t>
        </is>
      </c>
      <c r="G36" t="inlineStr">
        <is>
          <t>VINGÅKER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26244-2022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44735</v>
      </c>
      <c r="E37" s="1" t="n">
        <v>46254</v>
      </c>
      <c r="F37" t="inlineStr">
        <is>
          <t>SÖDERMANLANDS LÄN</t>
        </is>
      </c>
      <c r="G37" t="inlineStr">
        <is>
          <t>VINGÅKER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44480</v>
      </c>
      <c r="E38" s="1" t="n">
        <v>46254</v>
      </c>
      <c r="F38" t="inlineStr">
        <is>
          <t>SÖDERMANLANDS LÄN</t>
        </is>
      </c>
      <c r="G38" t="inlineStr">
        <is>
          <t>VINGÅKER</t>
        </is>
      </c>
      <c r="I38" t="n">
        <v>11.2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44680</v>
      </c>
      <c r="E39" s="1" t="n">
        <v>46254</v>
      </c>
      <c r="F39" t="inlineStr">
        <is>
          <t>SÖDERMANLANDS LÄN</t>
        </is>
      </c>
      <c r="G39" t="inlineStr">
        <is>
          <t>VINGÅKER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44655</v>
      </c>
      <c r="E40" s="1" t="n">
        <v>46254</v>
      </c>
      <c r="F40" t="inlineStr">
        <is>
          <t>SÖDERMANLANDS LÄN</t>
        </is>
      </c>
      <c r="G40" t="inlineStr">
        <is>
          <t>VINGÅKER</t>
        </is>
      </c>
      <c r="H40" t="inlineStr">
        <is>
          <t>Kommuner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46254</v>
      </c>
      <c r="F41" t="inlineStr">
        <is>
          <t>SÖDERMANLANDS LÄN</t>
        </is>
      </c>
      <c r="G41" t="inlineStr">
        <is>
          <t>VINGÅKER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55450-2021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44475</v>
      </c>
      <c r="E42" s="1" t="n">
        <v>46254</v>
      </c>
      <c r="F42" t="inlineStr">
        <is>
          <t>SÖDERMANLANDS LÄN</t>
        </is>
      </c>
      <c r="G42" t="inlineStr">
        <is>
          <t>VINGÅKER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44734</v>
      </c>
      <c r="E43" s="1" t="n">
        <v>46254</v>
      </c>
      <c r="F43" t="inlineStr">
        <is>
          <t>SÖDERMANLANDS LÄN</t>
        </is>
      </c>
      <c r="G43" t="inlineStr">
        <is>
          <t>VINGÅKER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17169-2025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45755</v>
      </c>
      <c r="E44" s="1" t="n">
        <v>46254</v>
      </c>
      <c r="F44" t="inlineStr">
        <is>
          <t>SÖDERMANLANDS LÄN</t>
        </is>
      </c>
      <c r="G44" t="inlineStr">
        <is>
          <t>VINGÅKER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12861-2022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44642</v>
      </c>
      <c r="E45" s="1" t="n">
        <v>46254</v>
      </c>
      <c r="F45" t="inlineStr">
        <is>
          <t>SÖDERMANLANDS LÄN</t>
        </is>
      </c>
      <c r="G45" t="inlineStr">
        <is>
          <t>VINGÅKER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42146-2022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44830</v>
      </c>
      <c r="E46" s="1" t="n">
        <v>46254</v>
      </c>
      <c r="F46" t="inlineStr">
        <is>
          <t>SÖDERMANLANDS LÄN</t>
        </is>
      </c>
      <c r="G46" t="inlineStr">
        <is>
          <t>VINGÅKER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60298-2022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44910</v>
      </c>
      <c r="E47" s="1" t="n">
        <v>46254</v>
      </c>
      <c r="F47" t="inlineStr">
        <is>
          <t>SÖDERMANLANDS LÄN</t>
        </is>
      </c>
      <c r="G47" t="inlineStr">
        <is>
          <t>VINGÅKER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45735</v>
      </c>
      <c r="E48" s="1" t="n">
        <v>46254</v>
      </c>
      <c r="F48" t="inlineStr">
        <is>
          <t>SÖDERMANLANDS LÄN</t>
        </is>
      </c>
      <c r="G48" t="inlineStr">
        <is>
          <t>VINGÅKER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8465-2023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44977</v>
      </c>
      <c r="E49" s="1" t="n">
        <v>46254</v>
      </c>
      <c r="F49" t="inlineStr">
        <is>
          <t>SÖDERMANLANDS LÄN</t>
        </is>
      </c>
      <c r="G49" t="inlineStr">
        <is>
          <t>VINGÅKER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29490-2024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45483</v>
      </c>
      <c r="E50" s="1" t="n">
        <v>46254</v>
      </c>
      <c r="F50" t="inlineStr">
        <is>
          <t>SÖDERMANLANDS LÄN</t>
        </is>
      </c>
      <c r="G50" t="inlineStr">
        <is>
          <t>VINGÅKER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44607-2023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45184</v>
      </c>
      <c r="E51" s="1" t="n">
        <v>46254</v>
      </c>
      <c r="F51" t="inlineStr">
        <is>
          <t>SÖDERMANLANDS LÄN</t>
        </is>
      </c>
      <c r="G51" t="inlineStr">
        <is>
          <t>VINGÅKER</t>
        </is>
      </c>
      <c r="H51" t="inlineStr">
        <is>
          <t>Kommuner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17656-2023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45036</v>
      </c>
      <c r="E52" s="1" t="n">
        <v>46254</v>
      </c>
      <c r="F52" t="inlineStr">
        <is>
          <t>SÖDERMANLANDS LÄN</t>
        </is>
      </c>
      <c r="G52" t="inlineStr">
        <is>
          <t>VINGÅKER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60572-2021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46254</v>
      </c>
      <c r="F53" t="inlineStr">
        <is>
          <t>SÖDERMANLANDS LÄN</t>
        </is>
      </c>
      <c r="G53" t="inlineStr">
        <is>
          <t>VINGÅKER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45013</v>
      </c>
      <c r="E54" s="1" t="n">
        <v>46254</v>
      </c>
      <c r="F54" t="inlineStr">
        <is>
          <t>SÖDERMANLANDS LÄN</t>
        </is>
      </c>
      <c r="G54" t="inlineStr">
        <is>
          <t>VINGÅKER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63614-2023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45275</v>
      </c>
      <c r="E55" s="1" t="n">
        <v>46254</v>
      </c>
      <c r="F55" t="inlineStr">
        <is>
          <t>SÖDERMANLANDS LÄN</t>
        </is>
      </c>
      <c r="G55" t="inlineStr">
        <is>
          <t>VINGÅKER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7136-2024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45343</v>
      </c>
      <c r="E56" s="1" t="n">
        <v>46254</v>
      </c>
      <c r="F56" t="inlineStr">
        <is>
          <t>SÖDERMANLANDS LÄN</t>
        </is>
      </c>
      <c r="G56" t="inlineStr">
        <is>
          <t>VINGÅKER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45149-2023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45191</v>
      </c>
      <c r="E57" s="1" t="n">
        <v>46254</v>
      </c>
      <c r="F57" t="inlineStr">
        <is>
          <t>SÖDERMANLANDS LÄN</t>
        </is>
      </c>
      <c r="G57" t="inlineStr">
        <is>
          <t>VINGÅKER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46254</v>
      </c>
      <c r="F58" t="inlineStr">
        <is>
          <t>SÖDERMANLANDS LÄN</t>
        </is>
      </c>
      <c r="G58" t="inlineStr">
        <is>
          <t>VINGÅKER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44593</v>
      </c>
      <c r="E59" s="1" t="n">
        <v>46254</v>
      </c>
      <c r="F59" t="inlineStr">
        <is>
          <t>SÖDERMANLANDS LÄN</t>
        </is>
      </c>
      <c r="G59" t="inlineStr">
        <is>
          <t>VINGÅKER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46254</v>
      </c>
      <c r="F60" t="inlineStr">
        <is>
          <t>SÖDERMANLANDS LÄN</t>
        </is>
      </c>
      <c r="G60" t="inlineStr">
        <is>
          <t>VINGÅKER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45120</v>
      </c>
      <c r="E61" s="1" t="n">
        <v>46254</v>
      </c>
      <c r="F61" t="inlineStr">
        <is>
          <t>SÖDERMANLANDS LÄN</t>
        </is>
      </c>
      <c r="G61" t="inlineStr">
        <is>
          <t>VINGÅKER</t>
        </is>
      </c>
      <c r="H61" t="inlineStr">
        <is>
          <t>Sveaskog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12716-2023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44999</v>
      </c>
      <c r="E62" s="1" t="n">
        <v>46254</v>
      </c>
      <c r="F62" t="inlineStr">
        <is>
          <t>SÖDERMANLANDS LÄN</t>
        </is>
      </c>
      <c r="G62" t="inlineStr">
        <is>
          <t>VINGÅKER</t>
        </is>
      </c>
      <c r="H62" t="inlineStr">
        <is>
          <t>Kommuner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10440-2022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44623</v>
      </c>
      <c r="E63" s="1" t="n">
        <v>46254</v>
      </c>
      <c r="F63" t="inlineStr">
        <is>
          <t>SÖDERMANLANDS LÄN</t>
        </is>
      </c>
      <c r="G63" t="inlineStr">
        <is>
          <t>VINGÅKER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45076</v>
      </c>
      <c r="E64" s="1" t="n">
        <v>46254</v>
      </c>
      <c r="F64" t="inlineStr">
        <is>
          <t>SÖDERMANLANDS LÄN</t>
        </is>
      </c>
      <c r="G64" t="inlineStr">
        <is>
          <t>VINGÅKER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24414-2023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45076</v>
      </c>
      <c r="E65" s="1" t="n">
        <v>46254</v>
      </c>
      <c r="F65" t="inlineStr">
        <is>
          <t>SÖDERMANLANDS LÄN</t>
        </is>
      </c>
      <c r="G65" t="inlineStr">
        <is>
          <t>VINGÅKER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55730-2021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44476</v>
      </c>
      <c r="E66" s="1" t="n">
        <v>46254</v>
      </c>
      <c r="F66" t="inlineStr">
        <is>
          <t>SÖDERMANLANDS LÄN</t>
        </is>
      </c>
      <c r="G66" t="inlineStr">
        <is>
          <t>VINGÅKER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44938</v>
      </c>
      <c r="E67" s="1" t="n">
        <v>46254</v>
      </c>
      <c r="F67" t="inlineStr">
        <is>
          <t>SÖDERMANLANDS LÄN</t>
        </is>
      </c>
      <c r="G67" t="inlineStr">
        <is>
          <t>VINGÅKER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58842-2022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44903</v>
      </c>
      <c r="E68" s="1" t="n">
        <v>46254</v>
      </c>
      <c r="F68" t="inlineStr">
        <is>
          <t>SÖDERMANLANDS LÄN</t>
        </is>
      </c>
      <c r="G68" t="inlineStr">
        <is>
          <t>VINGÅKER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17435-2022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44678</v>
      </c>
      <c r="E69" s="1" t="n">
        <v>46254</v>
      </c>
      <c r="F69" t="inlineStr">
        <is>
          <t>SÖDERMANLANDS LÄN</t>
        </is>
      </c>
      <c r="G69" t="inlineStr">
        <is>
          <t>VINGÅKER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45041</v>
      </c>
      <c r="E70" s="1" t="n">
        <v>46254</v>
      </c>
      <c r="F70" t="inlineStr">
        <is>
          <t>SÖDERMANLANDS LÄN</t>
        </is>
      </c>
      <c r="G70" t="inlineStr">
        <is>
          <t>VINGÅKER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45425-2024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45576</v>
      </c>
      <c r="E71" s="1" t="n">
        <v>46254</v>
      </c>
      <c r="F71" t="inlineStr">
        <is>
          <t>SÖDERMANLANDS LÄN</t>
        </is>
      </c>
      <c r="G71" t="inlineStr">
        <is>
          <t>VINGÅKER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44918</v>
      </c>
      <c r="E72" s="1" t="n">
        <v>46254</v>
      </c>
      <c r="F72" t="inlineStr">
        <is>
          <t>SÖDERMANLANDS LÄN</t>
        </is>
      </c>
      <c r="G72" t="inlineStr">
        <is>
          <t>VINGÅKER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19645-2024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45432</v>
      </c>
      <c r="E73" s="1" t="n">
        <v>46254</v>
      </c>
      <c r="F73" t="inlineStr">
        <is>
          <t>SÖDERMANLANDS LÄN</t>
        </is>
      </c>
      <c r="G73" t="inlineStr">
        <is>
          <t>VINGÅKER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27238-2023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45096</v>
      </c>
      <c r="E74" s="1" t="n">
        <v>46254</v>
      </c>
      <c r="F74" t="inlineStr">
        <is>
          <t>SÖDERMANLANDS LÄN</t>
        </is>
      </c>
      <c r="G74" t="inlineStr">
        <is>
          <t>VINGÅKER</t>
        </is>
      </c>
      <c r="H74" t="inlineStr">
        <is>
          <t>Sveaskog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45210</v>
      </c>
      <c r="E75" s="1" t="n">
        <v>46254</v>
      </c>
      <c r="F75" t="inlineStr">
        <is>
          <t>SÖDERMANLANDS LÄN</t>
        </is>
      </c>
      <c r="G75" t="inlineStr">
        <is>
          <t>VINGÅKER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46254</v>
      </c>
      <c r="F76" t="inlineStr">
        <is>
          <t>SÖDERMANLANDS LÄN</t>
        </is>
      </c>
      <c r="G76" t="inlineStr">
        <is>
          <t>VINGÅKER</t>
        </is>
      </c>
      <c r="H76" t="inlineStr">
        <is>
          <t>Sveaskog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64397-2021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44511</v>
      </c>
      <c r="E77" s="1" t="n">
        <v>46254</v>
      </c>
      <c r="F77" t="inlineStr">
        <is>
          <t>SÖDERMANLANDS LÄN</t>
        </is>
      </c>
      <c r="G77" t="inlineStr">
        <is>
          <t>VINGÅKER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54780-2023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46254</v>
      </c>
      <c r="F78" t="inlineStr">
        <is>
          <t>SÖDERMANLANDS LÄN</t>
        </is>
      </c>
      <c r="G78" t="inlineStr">
        <is>
          <t>VINGÅKER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45428</v>
      </c>
      <c r="E79" s="1" t="n">
        <v>46254</v>
      </c>
      <c r="F79" t="inlineStr">
        <is>
          <t>SÖDERMANLANDS LÄN</t>
        </is>
      </c>
      <c r="G79" t="inlineStr">
        <is>
          <t>VINGÅKER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42084-2023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45175</v>
      </c>
      <c r="E80" s="1" t="n">
        <v>46254</v>
      </c>
      <c r="F80" t="inlineStr">
        <is>
          <t>SÖDERMANLANDS LÄN</t>
        </is>
      </c>
      <c r="G80" t="inlineStr">
        <is>
          <t>VINGÅKER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48550-2021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44452</v>
      </c>
      <c r="E81" s="1" t="n">
        <v>46254</v>
      </c>
      <c r="F81" t="inlineStr">
        <is>
          <t>SÖDERMANLANDS LÄN</t>
        </is>
      </c>
      <c r="G81" t="inlineStr">
        <is>
          <t>VINGÅKER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27341-2022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44742</v>
      </c>
      <c r="E82" s="1" t="n">
        <v>46254</v>
      </c>
      <c r="F82" t="inlineStr">
        <is>
          <t>SÖDERMANLANDS LÄN</t>
        </is>
      </c>
      <c r="G82" t="inlineStr">
        <is>
          <t>VINGÅKER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44902</v>
      </c>
      <c r="E83" s="1" t="n">
        <v>46254</v>
      </c>
      <c r="F83" t="inlineStr">
        <is>
          <t>SÖDERMANLANDS LÄN</t>
        </is>
      </c>
      <c r="G83" t="inlineStr">
        <is>
          <t>VINGÅKER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45294</v>
      </c>
      <c r="E84" s="1" t="n">
        <v>46254</v>
      </c>
      <c r="F84" t="inlineStr">
        <is>
          <t>SÖDERMANLANDS LÄN</t>
        </is>
      </c>
      <c r="G84" t="inlineStr">
        <is>
          <t>VINGÅKER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58801-2025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45986</v>
      </c>
      <c r="E85" s="1" t="n">
        <v>46254</v>
      </c>
      <c r="F85" t="inlineStr">
        <is>
          <t>SÖDERMANLANDS LÄN</t>
        </is>
      </c>
      <c r="G85" t="inlineStr">
        <is>
          <t>VINGÅKER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20243-2026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46136</v>
      </c>
      <c r="E86" s="1" t="n">
        <v>46254</v>
      </c>
      <c r="F86" t="inlineStr">
        <is>
          <t>SÖDERMANLANDS LÄN</t>
        </is>
      </c>
      <c r="G86" t="inlineStr">
        <is>
          <t>VINGÅKER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35131-2024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45529</v>
      </c>
      <c r="E87" s="1" t="n">
        <v>46254</v>
      </c>
      <c r="F87" t="inlineStr">
        <is>
          <t>SÖDERMANLANDS LÄN</t>
        </is>
      </c>
      <c r="G87" t="inlineStr">
        <is>
          <t>VINGÅKER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63764-2023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45278</v>
      </c>
      <c r="E88" s="1" t="n">
        <v>46254</v>
      </c>
      <c r="F88" t="inlineStr">
        <is>
          <t>SÖDERMANLANDS LÄN</t>
        </is>
      </c>
      <c r="G88" t="inlineStr">
        <is>
          <t>VINGÅKER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44594</v>
      </c>
      <c r="E89" s="1" t="n">
        <v>46254</v>
      </c>
      <c r="F89" t="inlineStr">
        <is>
          <t>SÖDERMANLANDS LÄN</t>
        </is>
      </c>
      <c r="G89" t="inlineStr">
        <is>
          <t>VINGÅKER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46254</v>
      </c>
      <c r="F90" t="inlineStr">
        <is>
          <t>SÖDERMANLANDS LÄN</t>
        </is>
      </c>
      <c r="G90" t="inlineStr">
        <is>
          <t>VINGÅKER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60578-2021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44496</v>
      </c>
      <c r="E91" s="1" t="n">
        <v>46254</v>
      </c>
      <c r="F91" t="inlineStr">
        <is>
          <t>SÖDERMANLANDS LÄN</t>
        </is>
      </c>
      <c r="G91" t="inlineStr">
        <is>
          <t>VINGÅKER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2888-2023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44945</v>
      </c>
      <c r="E92" s="1" t="n">
        <v>46254</v>
      </c>
      <c r="F92" t="inlineStr">
        <is>
          <t>SÖDERMANLANDS LÄN</t>
        </is>
      </c>
      <c r="G92" t="inlineStr">
        <is>
          <t>VINGÅKER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44943</v>
      </c>
      <c r="E93" s="1" t="n">
        <v>46254</v>
      </c>
      <c r="F93" t="inlineStr">
        <is>
          <t>SÖDERMANLANDS LÄN</t>
        </is>
      </c>
      <c r="G93" t="inlineStr">
        <is>
          <t>VINGÅKER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45297</v>
      </c>
      <c r="E94" s="1" t="n">
        <v>46254</v>
      </c>
      <c r="F94" t="inlineStr">
        <is>
          <t>SÖDERMANLANDS LÄN</t>
        </is>
      </c>
      <c r="G94" t="inlineStr">
        <is>
          <t>VINGÅKER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21551-2026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46147</v>
      </c>
      <c r="E95" s="1" t="n">
        <v>46254</v>
      </c>
      <c r="F95" t="inlineStr">
        <is>
          <t>SÖDERMANLANDS LÄN</t>
        </is>
      </c>
      <c r="G95" t="inlineStr">
        <is>
          <t>VINGÅKER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45905</v>
      </c>
      <c r="E96" s="1" t="n">
        <v>46254</v>
      </c>
      <c r="F96" t="inlineStr">
        <is>
          <t>SÖDERMANLANDS LÄN</t>
        </is>
      </c>
      <c r="G96" t="inlineStr">
        <is>
          <t>VINGÅKER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46254</v>
      </c>
      <c r="F97" t="inlineStr">
        <is>
          <t>SÖDERMANLANDS LÄN</t>
        </is>
      </c>
      <c r="G97" t="inlineStr">
        <is>
          <t>VINGÅKER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45731-2025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45923</v>
      </c>
      <c r="E98" s="1" t="n">
        <v>46254</v>
      </c>
      <c r="F98" t="inlineStr">
        <is>
          <t>SÖDERMANLANDS LÄN</t>
        </is>
      </c>
      <c r="G98" t="inlineStr">
        <is>
          <t>VINGÅKER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46254</v>
      </c>
      <c r="F99" t="inlineStr">
        <is>
          <t>SÖDERMANLANDS LÄN</t>
        </is>
      </c>
      <c r="G99" t="inlineStr">
        <is>
          <t>VINGÅKER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44917</v>
      </c>
      <c r="E100" s="1" t="n">
        <v>46254</v>
      </c>
      <c r="F100" t="inlineStr">
        <is>
          <t>SÖDERMANLANDS LÄN</t>
        </is>
      </c>
      <c r="G100" t="inlineStr">
        <is>
          <t>VINGÅKER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61842-2022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44917</v>
      </c>
      <c r="E101" s="1" t="n">
        <v>46254</v>
      </c>
      <c r="F101" t="inlineStr">
        <is>
          <t>SÖDERMANLANDS LÄN</t>
        </is>
      </c>
      <c r="G101" t="inlineStr">
        <is>
          <t>VINGÅKER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58806-2023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45247</v>
      </c>
      <c r="E102" s="1" t="n">
        <v>46254</v>
      </c>
      <c r="F102" t="inlineStr">
        <is>
          <t>SÖDERMANLANDS LÄN</t>
        </is>
      </c>
      <c r="G102" t="inlineStr">
        <is>
          <t>VINGÅKER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45285</v>
      </c>
      <c r="E103" s="1" t="n">
        <v>46254</v>
      </c>
      <c r="F103" t="inlineStr">
        <is>
          <t>SÖDERMANLANDS LÄN</t>
        </is>
      </c>
      <c r="G103" t="inlineStr">
        <is>
          <t>VINGÅKER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55824-2023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45239</v>
      </c>
      <c r="E104" s="1" t="n">
        <v>46254</v>
      </c>
      <c r="F104" t="inlineStr">
        <is>
          <t>SÖDERMANLANDS LÄN</t>
        </is>
      </c>
      <c r="G104" t="inlineStr">
        <is>
          <t>VINGÅKER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44565</v>
      </c>
      <c r="E105" s="1" t="n">
        <v>46254</v>
      </c>
      <c r="F105" t="inlineStr">
        <is>
          <t>SÖDERMANLANDS LÄN</t>
        </is>
      </c>
      <c r="G105" t="inlineStr">
        <is>
          <t>VINGÅKER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46155</v>
      </c>
      <c r="E106" s="1" t="n">
        <v>46254</v>
      </c>
      <c r="F106" t="inlineStr">
        <is>
          <t>SÖDERMANLANDS LÄN</t>
        </is>
      </c>
      <c r="G106" t="inlineStr">
        <is>
          <t>VINGÅKER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11376-2023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44990</v>
      </c>
      <c r="E107" s="1" t="n">
        <v>46254</v>
      </c>
      <c r="F107" t="inlineStr">
        <is>
          <t>SÖDERMANLANDS LÄN</t>
        </is>
      </c>
      <c r="G107" t="inlineStr">
        <is>
          <t>VINGÅKER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42446-2025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45905</v>
      </c>
      <c r="E108" s="1" t="n">
        <v>46254</v>
      </c>
      <c r="F108" t="inlineStr">
        <is>
          <t>SÖDERMANLANDS LÄN</t>
        </is>
      </c>
      <c r="G108" t="inlineStr">
        <is>
          <t>VINGÅKER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50099-2024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45597</v>
      </c>
      <c r="E109" s="1" t="n">
        <v>46254</v>
      </c>
      <c r="F109" t="inlineStr">
        <is>
          <t>SÖDERMANLANDS LÄN</t>
        </is>
      </c>
      <c r="G109" t="inlineStr">
        <is>
          <t>VINGÅKER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44859</v>
      </c>
      <c r="E110" s="1" t="n">
        <v>46254</v>
      </c>
      <c r="F110" t="inlineStr">
        <is>
          <t>SÖDERMANLANDS LÄN</t>
        </is>
      </c>
      <c r="G110" t="inlineStr">
        <is>
          <t>VINGÅKER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44918</v>
      </c>
      <c r="E111" s="1" t="n">
        <v>46254</v>
      </c>
      <c r="F111" t="inlineStr">
        <is>
          <t>SÖDERMANLANDS LÄN</t>
        </is>
      </c>
      <c r="G111" t="inlineStr">
        <is>
          <t>VINGÅKER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45306</v>
      </c>
      <c r="E112" s="1" t="n">
        <v>46254</v>
      </c>
      <c r="F112" t="inlineStr">
        <is>
          <t>SÖDERMANLANDS LÄN</t>
        </is>
      </c>
      <c r="G112" t="inlineStr">
        <is>
          <t>VINGÅKER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48620-2022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46254</v>
      </c>
      <c r="F113" t="inlineStr">
        <is>
          <t>SÖDERMANLANDS LÄN</t>
        </is>
      </c>
      <c r="G113" t="inlineStr">
        <is>
          <t>VINGÅKER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46254</v>
      </c>
      <c r="F114" t="inlineStr">
        <is>
          <t>SÖDERMANLANDS LÄN</t>
        </is>
      </c>
      <c r="G114" t="inlineStr">
        <is>
          <t>VINGÅKER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45630</v>
      </c>
      <c r="E115" s="1" t="n">
        <v>46254</v>
      </c>
      <c r="F115" t="inlineStr">
        <is>
          <t>SÖDERMANLANDS LÄN</t>
        </is>
      </c>
      <c r="G115" t="inlineStr">
        <is>
          <t>VINGÅKER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44859</v>
      </c>
      <c r="E116" s="1" t="n">
        <v>46254</v>
      </c>
      <c r="F116" t="inlineStr">
        <is>
          <t>SÖDERMANLANDS LÄN</t>
        </is>
      </c>
      <c r="G116" t="inlineStr">
        <is>
          <t>VINGÅKER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48644-2022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46254</v>
      </c>
      <c r="F117" t="inlineStr">
        <is>
          <t>SÖDERMANLANDS LÄN</t>
        </is>
      </c>
      <c r="G117" t="inlineStr">
        <is>
          <t>VINGÅKER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55434-2021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44475</v>
      </c>
      <c r="E118" s="1" t="n">
        <v>46254</v>
      </c>
      <c r="F118" t="inlineStr">
        <is>
          <t>SÖDERMANLANDS LÄN</t>
        </is>
      </c>
      <c r="G118" t="inlineStr">
        <is>
          <t>VINGÅKER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46254</v>
      </c>
      <c r="F119" t="inlineStr">
        <is>
          <t>SÖDERMANLANDS LÄN</t>
        </is>
      </c>
      <c r="G119" t="inlineStr">
        <is>
          <t>VINGÅKER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53863-2021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44468</v>
      </c>
      <c r="E120" s="1" t="n">
        <v>46254</v>
      </c>
      <c r="F120" t="inlineStr">
        <is>
          <t>SÖDERMANLANDS LÄN</t>
        </is>
      </c>
      <c r="G120" t="inlineStr">
        <is>
          <t>VINGÅKER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31377-2026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46213</v>
      </c>
      <c r="E121" s="1" t="n">
        <v>46254</v>
      </c>
      <c r="F121" t="inlineStr">
        <is>
          <t>SÖDERMANLANDS LÄN</t>
        </is>
      </c>
      <c r="G121" t="inlineStr">
        <is>
          <t>VINGÅKER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31375-2026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46213</v>
      </c>
      <c r="E122" s="1" t="n">
        <v>46254</v>
      </c>
      <c r="F122" t="inlineStr">
        <is>
          <t>SÖDERMANLANDS LÄN</t>
        </is>
      </c>
      <c r="G122" t="inlineStr">
        <is>
          <t>VINGÅKER</t>
        </is>
      </c>
      <c r="H122" t="inlineStr">
        <is>
          <t>Kommuner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45056</v>
      </c>
      <c r="E123" s="1" t="n">
        <v>46254</v>
      </c>
      <c r="F123" t="inlineStr">
        <is>
          <t>SÖDERMANLANDS LÄN</t>
        </is>
      </c>
      <c r="G123" t="inlineStr">
        <is>
          <t>VINGÅKER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32273-2023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45109</v>
      </c>
      <c r="E124" s="1" t="n">
        <v>46254</v>
      </c>
      <c r="F124" t="inlineStr">
        <is>
          <t>SÖDERMANLANDS LÄN</t>
        </is>
      </c>
      <c r="G124" t="inlineStr">
        <is>
          <t>VINGÅKER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9543-2022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44617</v>
      </c>
      <c r="E125" s="1" t="n">
        <v>46254</v>
      </c>
      <c r="F125" t="inlineStr">
        <is>
          <t>SÖDERMANLANDS LÄN</t>
        </is>
      </c>
      <c r="G125" t="inlineStr">
        <is>
          <t>VINGÅKER</t>
        </is>
      </c>
      <c r="H125" t="inlineStr">
        <is>
          <t>Kyrkan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44893</v>
      </c>
      <c r="E126" s="1" t="n">
        <v>46254</v>
      </c>
      <c r="F126" t="inlineStr">
        <is>
          <t>SÖDERMANLANDS LÄN</t>
        </is>
      </c>
      <c r="G126" t="inlineStr">
        <is>
          <t>VINGÅKER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36649-2023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45153</v>
      </c>
      <c r="E127" s="1" t="n">
        <v>46254</v>
      </c>
      <c r="F127" t="inlineStr">
        <is>
          <t>SÖDERMANLANDS LÄN</t>
        </is>
      </c>
      <c r="G127" t="inlineStr">
        <is>
          <t>VINGÅKER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11371-2023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44990</v>
      </c>
      <c r="E128" s="1" t="n">
        <v>46254</v>
      </c>
      <c r="F128" t="inlineStr">
        <is>
          <t>SÖDERMANLANDS LÄN</t>
        </is>
      </c>
      <c r="G128" t="inlineStr">
        <is>
          <t>VINGÅKER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44993</v>
      </c>
      <c r="E129" s="1" t="n">
        <v>46254</v>
      </c>
      <c r="F129" t="inlineStr">
        <is>
          <t>SÖDERMANLANDS LÄN</t>
        </is>
      </c>
      <c r="G129" t="inlineStr">
        <is>
          <t>VINGÅKER</t>
        </is>
      </c>
      <c r="H129" t="inlineStr">
        <is>
          <t>Kyrkan</t>
        </is>
      </c>
      <c r="I129" t="n">
        <v>18.6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26141-2026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46254</v>
      </c>
      <c r="F130" t="inlineStr">
        <is>
          <t>SÖDERMANLANDS LÄN</t>
        </is>
      </c>
      <c r="G130" t="inlineStr">
        <is>
          <t>VINGÅKER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26142-2026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46254</v>
      </c>
      <c r="F131" t="inlineStr">
        <is>
          <t>SÖDERMANLANDS LÄN</t>
        </is>
      </c>
      <c r="G131" t="inlineStr">
        <is>
          <t>VINGÅKER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26147-2026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46254</v>
      </c>
      <c r="F132" t="inlineStr">
        <is>
          <t>SÖDERMANLANDS LÄN</t>
        </is>
      </c>
      <c r="G132" t="inlineStr">
        <is>
          <t>VINGÅKER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17178-2025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45755</v>
      </c>
      <c r="E133" s="1" t="n">
        <v>46254</v>
      </c>
      <c r="F133" t="inlineStr">
        <is>
          <t>SÖDERMANLANDS LÄN</t>
        </is>
      </c>
      <c r="G133" t="inlineStr">
        <is>
          <t>VINGÅKER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46254</v>
      </c>
      <c r="F134" t="inlineStr">
        <is>
          <t>SÖDERMANLANDS LÄN</t>
        </is>
      </c>
      <c r="G134" t="inlineStr">
        <is>
          <t>VINGÅKER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46254</v>
      </c>
      <c r="F135" t="inlineStr">
        <is>
          <t>SÖDERMANLANDS LÄN</t>
        </is>
      </c>
      <c r="G135" t="inlineStr">
        <is>
          <t>VINGÅKER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26144-2026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46254</v>
      </c>
      <c r="F136" t="inlineStr">
        <is>
          <t>SÖDERMANLANDS LÄN</t>
        </is>
      </c>
      <c r="G136" t="inlineStr">
        <is>
          <t>VINGÅKER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26146-2026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46181</v>
      </c>
      <c r="E137" s="1" t="n">
        <v>46254</v>
      </c>
      <c r="F137" t="inlineStr">
        <is>
          <t>SÖDERMANLANDS LÄN</t>
        </is>
      </c>
      <c r="G137" t="inlineStr">
        <is>
          <t>VINGÅKER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1128-2024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45302</v>
      </c>
      <c r="E138" s="1" t="n">
        <v>46254</v>
      </c>
      <c r="F138" t="inlineStr">
        <is>
          <t>SÖDERMANLANDS LÄN</t>
        </is>
      </c>
      <c r="G138" t="inlineStr">
        <is>
          <t>VINGÅKER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31913-2026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46231</v>
      </c>
      <c r="E139" s="1" t="n">
        <v>46254</v>
      </c>
      <c r="F139" t="inlineStr">
        <is>
          <t>SÖDERMANLANDS LÄN</t>
        </is>
      </c>
      <c r="G139" t="inlineStr">
        <is>
          <t>VINGÅKER</t>
        </is>
      </c>
      <c r="I139" t="n">
        <v>10.1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55092-2023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45237</v>
      </c>
      <c r="E140" s="1" t="n">
        <v>46254</v>
      </c>
      <c r="F140" t="inlineStr">
        <is>
          <t>SÖDERMANLANDS LÄN</t>
        </is>
      </c>
      <c r="G140" t="inlineStr">
        <is>
          <t>VINGÅKER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45792-2023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45195</v>
      </c>
      <c r="E141" s="1" t="n">
        <v>46254</v>
      </c>
      <c r="F141" t="inlineStr">
        <is>
          <t>SÖDERMANLANDS LÄN</t>
        </is>
      </c>
      <c r="G141" t="inlineStr">
        <is>
          <t>VINGÅKER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54112-2021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44470</v>
      </c>
      <c r="E142" s="1" t="n">
        <v>46254</v>
      </c>
      <c r="F142" t="inlineStr">
        <is>
          <t>SÖDERMANLANDS LÄN</t>
        </is>
      </c>
      <c r="G142" t="inlineStr">
        <is>
          <t>VINGÅKER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14087-2022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44651</v>
      </c>
      <c r="E143" s="1" t="n">
        <v>46254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Sveaskog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45774</v>
      </c>
      <c r="E144" s="1" t="n">
        <v>46254</v>
      </c>
      <c r="F144" t="inlineStr">
        <is>
          <t>SÖDERMANLANDS LÄN</t>
        </is>
      </c>
      <c r="G144" t="inlineStr">
        <is>
          <t>VINGÅKER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27978-2026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46195</v>
      </c>
      <c r="E145" s="1" t="n">
        <v>46254</v>
      </c>
      <c r="F145" t="inlineStr">
        <is>
          <t>SÖDERMANLANDS LÄN</t>
        </is>
      </c>
      <c r="G145" t="inlineStr">
        <is>
          <t>VINGÅKER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45053</v>
      </c>
      <c r="E146" s="1" t="n">
        <v>46254</v>
      </c>
      <c r="F146" t="inlineStr">
        <is>
          <t>SÖDERMANLANDS LÄN</t>
        </is>
      </c>
      <c r="G146" t="inlineStr">
        <is>
          <t>VINGÅKER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45959</v>
      </c>
      <c r="E147" s="1" t="n">
        <v>46254</v>
      </c>
      <c r="F147" t="inlineStr">
        <is>
          <t>SÖDERMANLANDS LÄN</t>
        </is>
      </c>
      <c r="G147" t="inlineStr">
        <is>
          <t>VINGÅKER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22835-2023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45072</v>
      </c>
      <c r="E148" s="1" t="n">
        <v>46254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Sveaskog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45194</v>
      </c>
      <c r="E149" s="1" t="n">
        <v>46254</v>
      </c>
      <c r="F149" t="inlineStr">
        <is>
          <t>SÖDERMANLANDS LÄN</t>
        </is>
      </c>
      <c r="G149" t="inlineStr">
        <is>
          <t>VINGÅKER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44979</v>
      </c>
      <c r="E150" s="1" t="n">
        <v>46254</v>
      </c>
      <c r="F150" t="inlineStr">
        <is>
          <t>SÖDERMANLANDS LÄN</t>
        </is>
      </c>
      <c r="G150" t="inlineStr">
        <is>
          <t>VINGÅKER</t>
        </is>
      </c>
      <c r="I150" t="n">
        <v>8.5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44565</v>
      </c>
      <c r="E151" s="1" t="n">
        <v>46254</v>
      </c>
      <c r="F151" t="inlineStr">
        <is>
          <t>SÖDERMANLANDS LÄN</t>
        </is>
      </c>
      <c r="G151" t="inlineStr">
        <is>
          <t>VINGÅKER</t>
        </is>
      </c>
      <c r="I151" t="n">
        <v>13.4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63584-2023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45275</v>
      </c>
      <c r="E152" s="1" t="n">
        <v>46254</v>
      </c>
      <c r="F152" t="inlineStr">
        <is>
          <t>SÖDERMANLANDS LÄN</t>
        </is>
      </c>
      <c r="G152" t="inlineStr">
        <is>
          <t>VINGÅKER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24106-2022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44725</v>
      </c>
      <c r="E153" s="1" t="n">
        <v>46254</v>
      </c>
      <c r="F153" t="inlineStr">
        <is>
          <t>SÖDERMANLANDS LÄN</t>
        </is>
      </c>
      <c r="G153" t="inlineStr">
        <is>
          <t>VINGÅKER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34159-2022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44791</v>
      </c>
      <c r="E154" s="1" t="n">
        <v>46254</v>
      </c>
      <c r="F154" t="inlineStr">
        <is>
          <t>SÖDERMANLANDS LÄN</t>
        </is>
      </c>
      <c r="G154" t="inlineStr">
        <is>
          <t>VINGÅKER</t>
        </is>
      </c>
      <c r="I154" t="n">
        <v>8.800000000000001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44942</v>
      </c>
      <c r="E155" s="1" t="n">
        <v>46254</v>
      </c>
      <c r="F155" t="inlineStr">
        <is>
          <t>SÖDERMANLANDS LÄN</t>
        </is>
      </c>
      <c r="G155" t="inlineStr">
        <is>
          <t>VINGÅKER</t>
        </is>
      </c>
      <c r="I155" t="n">
        <v>9.1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45981</v>
      </c>
      <c r="E156" s="1" t="n">
        <v>46254</v>
      </c>
      <c r="F156" t="inlineStr">
        <is>
          <t>SÖDERMANLANDS LÄN</t>
        </is>
      </c>
      <c r="G156" t="inlineStr">
        <is>
          <t>VINGÅKER</t>
        </is>
      </c>
      <c r="H156" t="inlineStr">
        <is>
          <t>Sveaskog</t>
        </is>
      </c>
      <c r="I156" t="n">
        <v>15.9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45076</v>
      </c>
      <c r="E157" s="1" t="n">
        <v>46254</v>
      </c>
      <c r="F157" t="inlineStr">
        <is>
          <t>SÖDERMANLANDS LÄN</t>
        </is>
      </c>
      <c r="G157" t="inlineStr">
        <is>
          <t>VINGÅKER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45980</v>
      </c>
      <c r="E158" s="1" t="n">
        <v>46254</v>
      </c>
      <c r="F158" t="inlineStr">
        <is>
          <t>SÖDERMANLANDS LÄN</t>
        </is>
      </c>
      <c r="G158" t="inlineStr">
        <is>
          <t>VINGÅKER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32316-2023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45120</v>
      </c>
      <c r="E159" s="1" t="n">
        <v>46254</v>
      </c>
      <c r="F159" t="inlineStr">
        <is>
          <t>SÖDERMANLANDS LÄN</t>
        </is>
      </c>
      <c r="G159" t="inlineStr">
        <is>
          <t>VINGÅKER</t>
        </is>
      </c>
      <c r="H159" t="inlineStr">
        <is>
          <t>Sveaskog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58174-2025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45982</v>
      </c>
      <c r="E160" s="1" t="n">
        <v>46254</v>
      </c>
      <c r="F160" t="inlineStr">
        <is>
          <t>SÖDERMANLANDS LÄN</t>
        </is>
      </c>
      <c r="G160" t="inlineStr">
        <is>
          <t>VINGÅKER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44977</v>
      </c>
      <c r="E161" s="1" t="n">
        <v>46254</v>
      </c>
      <c r="F161" t="inlineStr">
        <is>
          <t>SÖDERMANLANDS LÄN</t>
        </is>
      </c>
      <c r="G161" t="inlineStr">
        <is>
          <t>VINGÅKER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45096</v>
      </c>
      <c r="E162" s="1" t="n">
        <v>46254</v>
      </c>
      <c r="F162" t="inlineStr">
        <is>
          <t>SÖDERMANLANDS LÄN</t>
        </is>
      </c>
      <c r="G162" t="inlineStr">
        <is>
          <t>VINGÅKER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32279-2023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45109</v>
      </c>
      <c r="E163" s="1" t="n">
        <v>46254</v>
      </c>
      <c r="F163" t="inlineStr">
        <is>
          <t>SÖDERMANLANDS LÄN</t>
        </is>
      </c>
      <c r="G163" t="inlineStr">
        <is>
          <t>VINGÅKER</t>
        </is>
      </c>
      <c r="I163" t="n">
        <v>11.8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55640-2022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44888</v>
      </c>
      <c r="E164" s="1" t="n">
        <v>46254</v>
      </c>
      <c r="F164" t="inlineStr">
        <is>
          <t>SÖDERMANLANDS LÄN</t>
        </is>
      </c>
      <c r="G164" t="inlineStr">
        <is>
          <t>VINGÅKER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46253</v>
      </c>
      <c r="E165" s="1" t="n">
        <v>46254</v>
      </c>
      <c r="F165" t="inlineStr">
        <is>
          <t>SÖDERMANLANDS LÄN</t>
        </is>
      </c>
      <c r="G165" t="inlineStr">
        <is>
          <t>VINGÅKER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46253</v>
      </c>
      <c r="E166" s="1" t="n">
        <v>46254</v>
      </c>
      <c r="F166" t="inlineStr">
        <is>
          <t>SÖDERMANLANDS LÄN</t>
        </is>
      </c>
      <c r="G166" t="inlineStr">
        <is>
          <t>VINGÅKER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45615</v>
      </c>
      <c r="E167" s="1" t="n">
        <v>46254</v>
      </c>
      <c r="F167" t="inlineStr">
        <is>
          <t>SÖDERMANLANDS LÄN</t>
        </is>
      </c>
      <c r="G167" t="inlineStr">
        <is>
          <t>VINGÅKER</t>
        </is>
      </c>
      <c r="I167" t="n">
        <v>8.9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22866-2024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45448</v>
      </c>
      <c r="E168" s="1" t="n">
        <v>46254</v>
      </c>
      <c r="F168" t="inlineStr">
        <is>
          <t>SÖDERMANLANDS LÄN</t>
        </is>
      </c>
      <c r="G168" t="inlineStr">
        <is>
          <t>VINGÅKER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45236</v>
      </c>
      <c r="E169" s="1" t="n">
        <v>46254</v>
      </c>
      <c r="F169" t="inlineStr">
        <is>
          <t>SÖDERMANLANDS LÄN</t>
        </is>
      </c>
      <c r="G169" t="inlineStr">
        <is>
          <t>VINGÅKER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54978-2021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46254</v>
      </c>
      <c r="F170" t="inlineStr">
        <is>
          <t>SÖDERMANLANDS LÄN</t>
        </is>
      </c>
      <c r="G170" t="inlineStr">
        <is>
          <t>VINGÅKER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23415-2023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45076</v>
      </c>
      <c r="E171" s="1" t="n">
        <v>46254</v>
      </c>
      <c r="F171" t="inlineStr">
        <is>
          <t>SÖDERMANLANDS LÄN</t>
        </is>
      </c>
      <c r="G171" t="inlineStr">
        <is>
          <t>VINGÅKER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45321</v>
      </c>
      <c r="E172" s="1" t="n">
        <v>46254</v>
      </c>
      <c r="F172" t="inlineStr">
        <is>
          <t>SÖDERMANLANDS LÄN</t>
        </is>
      </c>
      <c r="G172" t="inlineStr">
        <is>
          <t>VINGÅKER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60467-2025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45995</v>
      </c>
      <c r="E173" s="1" t="n">
        <v>46254</v>
      </c>
      <c r="F173" t="inlineStr">
        <is>
          <t>SÖDERMANLANDS LÄN</t>
        </is>
      </c>
      <c r="G173" t="inlineStr">
        <is>
          <t>VINGÅKER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61576-2025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46002</v>
      </c>
      <c r="E174" s="1" t="n">
        <v>46254</v>
      </c>
      <c r="F174" t="inlineStr">
        <is>
          <t>SÖDERMANLANDS LÄN</t>
        </is>
      </c>
      <c r="G174" t="inlineStr">
        <is>
          <t>VINGÅKER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45053</v>
      </c>
      <c r="E175" s="1" t="n">
        <v>46254</v>
      </c>
      <c r="F175" t="inlineStr">
        <is>
          <t>SÖDERMANLANDS LÄN</t>
        </is>
      </c>
      <c r="G175" t="inlineStr">
        <is>
          <t>VINGÅKER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45297</v>
      </c>
      <c r="E176" s="1" t="n">
        <v>46254</v>
      </c>
      <c r="F176" t="inlineStr">
        <is>
          <t>SÖDERMANLANDS LÄN</t>
        </is>
      </c>
      <c r="G176" t="inlineStr">
        <is>
          <t>VINGÅKER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46254</v>
      </c>
      <c r="F177" t="inlineStr">
        <is>
          <t>SÖDERMANLANDS LÄN</t>
        </is>
      </c>
      <c r="G177" t="inlineStr">
        <is>
          <t>VINGÅKER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41870-2023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45174</v>
      </c>
      <c r="E178" s="1" t="n">
        <v>46254</v>
      </c>
      <c r="F178" t="inlineStr">
        <is>
          <t>SÖDERMANLANDS LÄN</t>
        </is>
      </c>
      <c r="G178" t="inlineStr">
        <is>
          <t>VINGÅKER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39779-2024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46254</v>
      </c>
      <c r="F179" t="inlineStr">
        <is>
          <t>SÖDERMANLANDS LÄN</t>
        </is>
      </c>
      <c r="G179" t="inlineStr">
        <is>
          <t>VINGÅKER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16071-2023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45021</v>
      </c>
      <c r="E180" s="1" t="n">
        <v>46254</v>
      </c>
      <c r="F180" t="inlineStr">
        <is>
          <t>SÖDERMANLANDS LÄN</t>
        </is>
      </c>
      <c r="G180" t="inlineStr">
        <is>
          <t>VINGÅKER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46023</v>
      </c>
      <c r="E181" s="1" t="n">
        <v>46254</v>
      </c>
      <c r="F181" t="inlineStr">
        <is>
          <t>SÖDERMANLANDS LÄN</t>
        </is>
      </c>
      <c r="G181" t="inlineStr">
        <is>
          <t>VINGÅKER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61825-2022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44917</v>
      </c>
      <c r="E182" s="1" t="n">
        <v>46254</v>
      </c>
      <c r="F182" t="inlineStr">
        <is>
          <t>SÖDERMANLANDS LÄN</t>
        </is>
      </c>
      <c r="G182" t="inlineStr">
        <is>
          <t>VINGÅKER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45110</v>
      </c>
      <c r="E183" s="1" t="n">
        <v>46254</v>
      </c>
      <c r="F183" t="inlineStr">
        <is>
          <t>SÖDERMANLANDS LÄN</t>
        </is>
      </c>
      <c r="G183" t="inlineStr">
        <is>
          <t>VINGÅKER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46254</v>
      </c>
      <c r="F184" t="inlineStr">
        <is>
          <t>SÖDERMANLANDS LÄN</t>
        </is>
      </c>
      <c r="G184" t="inlineStr">
        <is>
          <t>VINGÅKER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45317</v>
      </c>
      <c r="E185" s="1" t="n">
        <v>46254</v>
      </c>
      <c r="F185" t="inlineStr">
        <is>
          <t>SÖDERMANLANDS LÄN</t>
        </is>
      </c>
      <c r="G185" t="inlineStr">
        <is>
          <t>VINGÅKER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46037</v>
      </c>
      <c r="E186" s="1" t="n">
        <v>46254</v>
      </c>
      <c r="F186" t="inlineStr">
        <is>
          <t>SÖDERMANLANDS LÄN</t>
        </is>
      </c>
      <c r="G186" t="inlineStr">
        <is>
          <t>VINGÅKER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22135-2023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45069</v>
      </c>
      <c r="E187" s="1" t="n">
        <v>46254</v>
      </c>
      <c r="F187" t="inlineStr">
        <is>
          <t>SÖDERMANLANDS LÄN</t>
        </is>
      </c>
      <c r="G187" t="inlineStr">
        <is>
          <t>VINGÅKER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45498</v>
      </c>
      <c r="E188" s="1" t="n">
        <v>46254</v>
      </c>
      <c r="F188" t="inlineStr">
        <is>
          <t>SÖDERMANLANDS LÄN</t>
        </is>
      </c>
      <c r="G188" t="inlineStr">
        <is>
          <t>VINGÅKER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18797-2025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45764</v>
      </c>
      <c r="E189" s="1" t="n">
        <v>46254</v>
      </c>
      <c r="F189" t="inlineStr">
        <is>
          <t>SÖDERMANLANDS LÄN</t>
        </is>
      </c>
      <c r="G189" t="inlineStr">
        <is>
          <t>VINGÅKER</t>
        </is>
      </c>
      <c r="H189" t="inlineStr">
        <is>
          <t>Sveaskog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17768-2024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45418</v>
      </c>
      <c r="E190" s="1" t="n">
        <v>46254</v>
      </c>
      <c r="F190" t="inlineStr">
        <is>
          <t>SÖDERMANLANDS LÄN</t>
        </is>
      </c>
      <c r="G190" t="inlineStr">
        <is>
          <t>VINGÅKER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21160-2024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45440</v>
      </c>
      <c r="E191" s="1" t="n">
        <v>46254</v>
      </c>
      <c r="F191" t="inlineStr">
        <is>
          <t>SÖDERMANLANDS LÄN</t>
        </is>
      </c>
      <c r="G191" t="inlineStr">
        <is>
          <t>VINGÅKER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45181</v>
      </c>
      <c r="E192" s="1" t="n">
        <v>46254</v>
      </c>
      <c r="F192" t="inlineStr">
        <is>
          <t>SÖDERMANLANDS LÄN</t>
        </is>
      </c>
      <c r="G192" t="inlineStr">
        <is>
          <t>VINGÅKER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45051</v>
      </c>
      <c r="E193" s="1" t="n">
        <v>46254</v>
      </c>
      <c r="F193" t="inlineStr">
        <is>
          <t>SÖDERMANLANDS LÄN</t>
        </is>
      </c>
      <c r="G193" t="inlineStr">
        <is>
          <t>VINGÅKER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46254</v>
      </c>
      <c r="F194" t="inlineStr">
        <is>
          <t>SÖDERMANLANDS LÄN</t>
        </is>
      </c>
      <c r="G194" t="inlineStr">
        <is>
          <t>VINGÅKER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10546-2026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46077</v>
      </c>
      <c r="E195" s="1" t="n">
        <v>46254</v>
      </c>
      <c r="F195" t="inlineStr">
        <is>
          <t>SÖDERMANLANDS LÄN</t>
        </is>
      </c>
      <c r="G195" t="inlineStr">
        <is>
          <t>VINGÅKER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10549-2026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46077</v>
      </c>
      <c r="E196" s="1" t="n">
        <v>46254</v>
      </c>
      <c r="F196" t="inlineStr">
        <is>
          <t>SÖDERMANLANDS LÄN</t>
        </is>
      </c>
      <c r="G196" t="inlineStr">
        <is>
          <t>VINGÅKER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64770-2023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45281</v>
      </c>
      <c r="E197" s="1" t="n">
        <v>46254</v>
      </c>
      <c r="F197" t="inlineStr">
        <is>
          <t>SÖDERMANLANDS LÄN</t>
        </is>
      </c>
      <c r="G197" t="inlineStr">
        <is>
          <t>VINGÅKER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8997-2026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46069</v>
      </c>
      <c r="E198" s="1" t="n">
        <v>46254</v>
      </c>
      <c r="F198" t="inlineStr">
        <is>
          <t>SÖDERMANLANDS LÄN</t>
        </is>
      </c>
      <c r="G198" t="inlineStr">
        <is>
          <t>VINGÅKER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35257-2022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44798</v>
      </c>
      <c r="E199" s="1" t="n">
        <v>46254</v>
      </c>
      <c r="F199" t="inlineStr">
        <is>
          <t>SÖDERMANLANDS LÄN</t>
        </is>
      </c>
      <c r="G199" t="inlineStr">
        <is>
          <t>VINGÅKER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49153-2024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45594</v>
      </c>
      <c r="E200" s="1" t="n">
        <v>46254</v>
      </c>
      <c r="F200" t="inlineStr">
        <is>
          <t>SÖDERMANLANDS LÄN</t>
        </is>
      </c>
      <c r="G200" t="inlineStr">
        <is>
          <t>VINGÅKER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13185-2025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45735</v>
      </c>
      <c r="E201" s="1" t="n">
        <v>46254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Kommuner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13192-2025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45735</v>
      </c>
      <c r="E202" s="1" t="n">
        <v>46254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Kommuner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1668-2022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44573</v>
      </c>
      <c r="E203" s="1" t="n">
        <v>46254</v>
      </c>
      <c r="F203" t="inlineStr">
        <is>
          <t>SÖDERMANLANDS LÄN</t>
        </is>
      </c>
      <c r="G203" t="inlineStr">
        <is>
          <t>VINGÅKER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23429-2023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45076</v>
      </c>
      <c r="E204" s="1" t="n">
        <v>46254</v>
      </c>
      <c r="F204" t="inlineStr">
        <is>
          <t>SÖDERMANLANDS LÄN</t>
        </is>
      </c>
      <c r="G204" t="inlineStr">
        <is>
          <t>VINGÅKER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7825-2022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44608</v>
      </c>
      <c r="E205" s="1" t="n">
        <v>46254</v>
      </c>
      <c r="F205" t="inlineStr">
        <is>
          <t>SÖDERMANLANDS LÄN</t>
        </is>
      </c>
      <c r="G205" t="inlineStr">
        <is>
          <t>VINGÅKER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17731-2026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46121</v>
      </c>
      <c r="E206" s="1" t="n">
        <v>46254</v>
      </c>
      <c r="F206" t="inlineStr">
        <is>
          <t>SÖDERMANLANDS LÄN</t>
        </is>
      </c>
      <c r="G206" t="inlineStr">
        <is>
          <t>VINGÅKER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5348-2022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44594</v>
      </c>
      <c r="E207" s="1" t="n">
        <v>46254</v>
      </c>
      <c r="F207" t="inlineStr">
        <is>
          <t>SÖDERMANLANDS LÄN</t>
        </is>
      </c>
      <c r="G207" t="inlineStr">
        <is>
          <t>VINGÅKER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44910</v>
      </c>
      <c r="E208" s="1" t="n">
        <v>46254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Kommuner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45630</v>
      </c>
      <c r="E209" s="1" t="n">
        <v>46254</v>
      </c>
      <c r="F209" t="inlineStr">
        <is>
          <t>SÖDERMANLANDS LÄN</t>
        </is>
      </c>
      <c r="G209" t="inlineStr">
        <is>
          <t>VINGÅKER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46254</v>
      </c>
      <c r="F210" t="inlineStr">
        <is>
          <t>SÖDERMANLANDS LÄN</t>
        </is>
      </c>
      <c r="G210" t="inlineStr">
        <is>
          <t>VINGÅKER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34019-2023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45135</v>
      </c>
      <c r="E211" s="1" t="n">
        <v>46254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Övriga Aktiebolag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60578-2021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44496</v>
      </c>
      <c r="E212" s="1" t="n">
        <v>46254</v>
      </c>
      <c r="F212" t="inlineStr">
        <is>
          <t>SÖDERMANLANDS LÄN</t>
        </is>
      </c>
      <c r="G212" t="inlineStr">
        <is>
          <t>VINGÅKER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44937</v>
      </c>
      <c r="E213" s="1" t="n">
        <v>46254</v>
      </c>
      <c r="F213" t="inlineStr">
        <is>
          <t>SÖDERMANLANDS LÄN</t>
        </is>
      </c>
      <c r="G213" t="inlineStr">
        <is>
          <t>VINGÅKER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44938</v>
      </c>
      <c r="E214" s="1" t="n">
        <v>46254</v>
      </c>
      <c r="F214" t="inlineStr">
        <is>
          <t>SÖDERMANLANDS LÄN</t>
        </is>
      </c>
      <c r="G214" t="inlineStr">
        <is>
          <t>VINGÅKER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19792-2026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46135</v>
      </c>
      <c r="E215" s="1" t="n">
        <v>46254</v>
      </c>
      <c r="F215" t="inlineStr">
        <is>
          <t>SÖDERMANLANDS LÄN</t>
        </is>
      </c>
      <c r="G215" t="inlineStr">
        <is>
          <t>VINGÅKER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28003-2022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44744</v>
      </c>
      <c r="E216" s="1" t="n">
        <v>46254</v>
      </c>
      <c r="F216" t="inlineStr">
        <is>
          <t>SÖDERMANLANDS LÄN</t>
        </is>
      </c>
      <c r="G216" t="inlineStr">
        <is>
          <t>VINGÅKER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46464-2024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45582</v>
      </c>
      <c r="E217" s="1" t="n">
        <v>46254</v>
      </c>
      <c r="F217" t="inlineStr">
        <is>
          <t>SÖDERMANLANDS LÄN</t>
        </is>
      </c>
      <c r="G217" t="inlineStr">
        <is>
          <t>VINGÅKER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19920-2026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46254</v>
      </c>
      <c r="F218" t="inlineStr">
        <is>
          <t>SÖDERMANLANDS LÄN</t>
        </is>
      </c>
      <c r="G218" t="inlineStr">
        <is>
          <t>VINGÅKER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45740</v>
      </c>
      <c r="E219" s="1" t="n">
        <v>46254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46254</v>
      </c>
      <c r="F220" t="inlineStr">
        <is>
          <t>SÖDERMANLANDS LÄN</t>
        </is>
      </c>
      <c r="G220" t="inlineStr">
        <is>
          <t>VINGÅKER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54390-2023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45226</v>
      </c>
      <c r="E221" s="1" t="n">
        <v>46254</v>
      </c>
      <c r="F221" t="inlineStr">
        <is>
          <t>SÖDERMANLANDS LÄN</t>
        </is>
      </c>
      <c r="G221" t="inlineStr">
        <is>
          <t>VINGÅKER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16986-2025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45755</v>
      </c>
      <c r="E222" s="1" t="n">
        <v>46254</v>
      </c>
      <c r="F222" t="inlineStr">
        <is>
          <t>SÖDERMANLANDS LÄN</t>
        </is>
      </c>
      <c r="G222" t="inlineStr">
        <is>
          <t>VINGÅKER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45576</v>
      </c>
      <c r="E223" s="1" t="n">
        <v>46254</v>
      </c>
      <c r="F223" t="inlineStr">
        <is>
          <t>SÖDERMANLANDS LÄN</t>
        </is>
      </c>
      <c r="G223" t="inlineStr">
        <is>
          <t>VINGÅKER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50100-2024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45598</v>
      </c>
      <c r="E224" s="1" t="n">
        <v>46254</v>
      </c>
      <c r="F224" t="inlineStr">
        <is>
          <t>SÖDERMANLANDS LÄN</t>
        </is>
      </c>
      <c r="G224" t="inlineStr">
        <is>
          <t>VINGÅKER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48875-2024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45594</v>
      </c>
      <c r="E225" s="1" t="n">
        <v>46254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Övriga Aktiebolag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46254</v>
      </c>
      <c r="F226" t="inlineStr">
        <is>
          <t>SÖDERMANLANDS LÄN</t>
        </is>
      </c>
      <c r="G226" t="inlineStr">
        <is>
          <t>VINGÅKER</t>
        </is>
      </c>
      <c r="I226" t="n">
        <v>17.1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27960-2025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45817</v>
      </c>
      <c r="E227" s="1" t="n">
        <v>46254</v>
      </c>
      <c r="F227" t="inlineStr">
        <is>
          <t>SÖDERMANLANDS LÄN</t>
        </is>
      </c>
      <c r="G227" t="inlineStr">
        <is>
          <t>VINGÅKER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45803</v>
      </c>
      <c r="E228" s="1" t="n">
        <v>46254</v>
      </c>
      <c r="F228" t="inlineStr">
        <is>
          <t>SÖDERMANLANDS LÄN</t>
        </is>
      </c>
      <c r="G228" t="inlineStr">
        <is>
          <t>VINGÅKER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18241-2022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44685</v>
      </c>
      <c r="E229" s="1" t="n">
        <v>46254</v>
      </c>
      <c r="F229" t="inlineStr">
        <is>
          <t>SÖDERMANLANDS LÄN</t>
        </is>
      </c>
      <c r="G229" t="inlineStr">
        <is>
          <t>VINGÅKER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12714-2025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45733</v>
      </c>
      <c r="E230" s="1" t="n">
        <v>46254</v>
      </c>
      <c r="F230" t="inlineStr">
        <is>
          <t>SÖDERMANLANDS LÄN</t>
        </is>
      </c>
      <c r="G230" t="inlineStr">
        <is>
          <t>VINGÅKER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45880</v>
      </c>
      <c r="E231" s="1" t="n">
        <v>46254</v>
      </c>
      <c r="F231" t="inlineStr">
        <is>
          <t>SÖDERMANLANDS LÄN</t>
        </is>
      </c>
      <c r="G231" t="inlineStr">
        <is>
          <t>VINGÅKER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1502-2023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45051</v>
      </c>
      <c r="E232" s="1" t="n">
        <v>46254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46254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46254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1266-2025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45764</v>
      </c>
      <c r="E235" s="1" t="n">
        <v>46254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1260-2025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45763</v>
      </c>
      <c r="E236" s="1" t="n">
        <v>46254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1137-2025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45755</v>
      </c>
      <c r="E237" s="1" t="n">
        <v>46254</v>
      </c>
      <c r="F237" t="inlineStr">
        <is>
          <t>SÖDERMANLANDS LÄN</t>
        </is>
      </c>
      <c r="G237" t="inlineStr">
        <is>
          <t>VINGÅKER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2026-08-20T01:45:59Z</dcterms:created>
  <dcterms:modified xmlns:dcterms="http://purl.org/dc/terms/" xmlns:xsi="http://www.w3.org/2001/XMLSchema-instance" xsi:type="dcterms:W3CDTF">2026-08-20T01:45:59Z</dcterms:modified>
</cp:coreProperties>
</file>