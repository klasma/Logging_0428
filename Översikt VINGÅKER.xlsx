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45802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45802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45802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Järpe
Spillkråka
Järnsparv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45802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Hällebräcka
Buskskvätta
Gulsparv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45802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45802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38875-2019</t>
        </is>
      </c>
      <c r="B8" s="1" t="n">
        <v>43689</v>
      </c>
      <c r="C8" s="1" t="n">
        <v>45802</v>
      </c>
      <c r="D8" t="inlineStr">
        <is>
          <t>SÖDERMANLANDS LÄN</t>
        </is>
      </c>
      <c r="E8" t="inlineStr">
        <is>
          <t>VINGÅKER</t>
        </is>
      </c>
      <c r="F8" t="inlineStr">
        <is>
          <t>Kommuner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Gröngöling</t>
        </is>
      </c>
      <c r="S8">
        <f>HYPERLINK("https://klasma.github.io/Logging_0428/artfynd/A 38875-2019 artfynd.xlsx", "A 38875-2019")</f>
        <v/>
      </c>
      <c r="T8">
        <f>HYPERLINK("https://klasma.github.io/Logging_0428/kartor/A 38875-2019 karta.png", "A 38875-2019")</f>
        <v/>
      </c>
      <c r="V8">
        <f>HYPERLINK("https://klasma.github.io/Logging_0428/klagomål/A 38875-2019 FSC-klagomål.docx", "A 38875-2019")</f>
        <v/>
      </c>
      <c r="W8">
        <f>HYPERLINK("https://klasma.github.io/Logging_0428/klagomålsmail/A 38875-2019 FSC-klagomål mail.docx", "A 38875-2019")</f>
        <v/>
      </c>
      <c r="X8">
        <f>HYPERLINK("https://klasma.github.io/Logging_0428/tillsyn/A 38875-2019 tillsynsbegäran.docx", "A 38875-2019")</f>
        <v/>
      </c>
      <c r="Y8">
        <f>HYPERLINK("https://klasma.github.io/Logging_0428/tillsynsmail/A 38875-2019 tillsynsbegäran mail.docx", "A 38875-2019")</f>
        <v/>
      </c>
      <c r="Z8">
        <f>HYPERLINK("https://klasma.github.io/Logging_0428/fåglar/A 38875-2019 prioriterade fågelarter.docx", "A 38875-2019")</f>
        <v/>
      </c>
    </row>
    <row r="9" ht="15" customHeight="1">
      <c r="A9" t="inlineStr">
        <is>
          <t>A 16308-2024</t>
        </is>
      </c>
      <c r="B9" s="1" t="n">
        <v>45407</v>
      </c>
      <c r="C9" s="1" t="n">
        <v>45802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Svartvit flugsnappare</t>
        </is>
      </c>
      <c r="S9">
        <f>HYPERLINK("https://klasma.github.io/Logging_0428/artfynd/A 16308-2024 artfynd.xlsx", "A 16308-2024")</f>
        <v/>
      </c>
      <c r="T9">
        <f>HYPERLINK("https://klasma.github.io/Logging_0428/kartor/A 16308-2024 karta.png", "A 16308-2024")</f>
        <v/>
      </c>
      <c r="V9">
        <f>HYPERLINK("https://klasma.github.io/Logging_0428/klagomål/A 16308-2024 FSC-klagomål.docx", "A 16308-2024")</f>
        <v/>
      </c>
      <c r="W9">
        <f>HYPERLINK("https://klasma.github.io/Logging_0428/klagomålsmail/A 16308-2024 FSC-klagomål mail.docx", "A 16308-2024")</f>
        <v/>
      </c>
      <c r="X9">
        <f>HYPERLINK("https://klasma.github.io/Logging_0428/tillsyn/A 16308-2024 tillsynsbegäran.docx", "A 16308-2024")</f>
        <v/>
      </c>
      <c r="Y9">
        <f>HYPERLINK("https://klasma.github.io/Logging_0428/tillsynsmail/A 16308-2024 tillsynsbegäran mail.docx", "A 16308-2024")</f>
        <v/>
      </c>
      <c r="Z9">
        <f>HYPERLINK("https://klasma.github.io/Logging_0428/fåglar/A 16308-2024 prioriterade fågelarter.docx", "A 16308-2024")</f>
        <v/>
      </c>
    </row>
    <row r="10" ht="15" customHeight="1">
      <c r="A10" t="inlineStr">
        <is>
          <t>A 35997-2019</t>
        </is>
      </c>
      <c r="B10" s="1" t="n">
        <v>43656</v>
      </c>
      <c r="C10" s="1" t="n">
        <v>45802</v>
      </c>
      <c r="D10" t="inlineStr">
        <is>
          <t>SÖDERMANLANDS LÄN</t>
        </is>
      </c>
      <c r="E10" t="inlineStr">
        <is>
          <t>VINGÅKER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35997-2019 artfynd.xlsx", "A 35997-2019")</f>
        <v/>
      </c>
      <c r="T10">
        <f>HYPERLINK("https://klasma.github.io/Logging_0428/kartor/A 35997-2019 karta.png", "A 35997-2019")</f>
        <v/>
      </c>
      <c r="V10">
        <f>HYPERLINK("https://klasma.github.io/Logging_0428/klagomål/A 35997-2019 FSC-klagomål.docx", "A 35997-2019")</f>
        <v/>
      </c>
      <c r="W10">
        <f>HYPERLINK("https://klasma.github.io/Logging_0428/klagomålsmail/A 35997-2019 FSC-klagomål mail.docx", "A 35997-2019")</f>
        <v/>
      </c>
      <c r="X10">
        <f>HYPERLINK("https://klasma.github.io/Logging_0428/tillsyn/A 35997-2019 tillsynsbegäran.docx", "A 35997-2019")</f>
        <v/>
      </c>
      <c r="Y10">
        <f>HYPERLINK("https://klasma.github.io/Logging_0428/tillsynsmail/A 35997-2019 tillsynsbegäran mail.docx", "A 35997-2019")</f>
        <v/>
      </c>
    </row>
    <row r="11" ht="15" customHeight="1">
      <c r="A11" t="inlineStr">
        <is>
          <t>A 39788-2019</t>
        </is>
      </c>
      <c r="B11" s="1" t="n">
        <v>43692</v>
      </c>
      <c r="C11" s="1" t="n">
        <v>45802</v>
      </c>
      <c r="D11" t="inlineStr">
        <is>
          <t>SÖDERMANLANDS LÄN</t>
        </is>
      </c>
      <c r="E11" t="inlineStr">
        <is>
          <t>VINGÅKER</t>
        </is>
      </c>
      <c r="F11" t="inlineStr">
        <is>
          <t>Kyrkan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Zontaggsvamp</t>
        </is>
      </c>
      <c r="S11">
        <f>HYPERLINK("https://klasma.github.io/Logging_0428/artfynd/A 39788-2019 artfynd.xlsx", "A 39788-2019")</f>
        <v/>
      </c>
      <c r="T11">
        <f>HYPERLINK("https://klasma.github.io/Logging_0428/kartor/A 39788-2019 karta.png", "A 39788-2019")</f>
        <v/>
      </c>
      <c r="V11">
        <f>HYPERLINK("https://klasma.github.io/Logging_0428/klagomål/A 39788-2019 FSC-klagomål.docx", "A 39788-2019")</f>
        <v/>
      </c>
      <c r="W11">
        <f>HYPERLINK("https://klasma.github.io/Logging_0428/klagomålsmail/A 39788-2019 FSC-klagomål mail.docx", "A 39788-2019")</f>
        <v/>
      </c>
      <c r="X11">
        <f>HYPERLINK("https://klasma.github.io/Logging_0428/tillsyn/A 39788-2019 tillsynsbegäran.docx", "A 39788-2019")</f>
        <v/>
      </c>
      <c r="Y11">
        <f>HYPERLINK("https://klasma.github.io/Logging_0428/tillsynsmail/A 39788-2019 tillsynsbegäran mail.docx", "A 39788-2019")</f>
        <v/>
      </c>
    </row>
    <row r="12" ht="15" customHeight="1">
      <c r="A12" t="inlineStr">
        <is>
          <t>A 24223-2021</t>
        </is>
      </c>
      <c r="B12" s="1" t="n">
        <v>44336</v>
      </c>
      <c r="C12" s="1" t="n">
        <v>45802</v>
      </c>
      <c r="D12" t="inlineStr">
        <is>
          <t>SÖDERMANLANDS LÄN</t>
        </is>
      </c>
      <c r="E12" t="inlineStr">
        <is>
          <t>VINGÅKER</t>
        </is>
      </c>
      <c r="G12" t="n">
        <v>4.2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24223-2021 artfynd.xlsx", "A 24223-2021")</f>
        <v/>
      </c>
      <c r="T12">
        <f>HYPERLINK("https://klasma.github.io/Logging_0428/kartor/A 24223-2021 karta.png", "A 24223-2021")</f>
        <v/>
      </c>
      <c r="V12">
        <f>HYPERLINK("https://klasma.github.io/Logging_0428/klagomål/A 24223-2021 FSC-klagomål.docx", "A 24223-2021")</f>
        <v/>
      </c>
      <c r="W12">
        <f>HYPERLINK("https://klasma.github.io/Logging_0428/klagomålsmail/A 24223-2021 FSC-klagomål mail.docx", "A 24223-2021")</f>
        <v/>
      </c>
      <c r="X12">
        <f>HYPERLINK("https://klasma.github.io/Logging_0428/tillsyn/A 24223-2021 tillsynsbegäran.docx", "A 24223-2021")</f>
        <v/>
      </c>
      <c r="Y12">
        <f>HYPERLINK("https://klasma.github.io/Logging_0428/tillsynsmail/A 24223-2021 tillsynsbegäran mail.docx", "A 24223-2021")</f>
        <v/>
      </c>
    </row>
    <row r="13" ht="15" customHeight="1">
      <c r="A13" t="inlineStr">
        <is>
          <t>A 24301-2021</t>
        </is>
      </c>
      <c r="B13" s="1" t="n">
        <v>44337</v>
      </c>
      <c r="C13" s="1" t="n">
        <v>45802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HYPERLINK("https://klasma.github.io/Logging_0428/artfynd/A 24301-2021 artfynd.xlsx", "A 24301-2021")</f>
        <v/>
      </c>
      <c r="T13">
        <f>HYPERLINK("https://klasma.github.io/Logging_0428/kartor/A 24301-2021 karta.png", "A 24301-2021")</f>
        <v/>
      </c>
      <c r="V13">
        <f>HYPERLINK("https://klasma.github.io/Logging_0428/klagomål/A 24301-2021 FSC-klagomål.docx", "A 24301-2021")</f>
        <v/>
      </c>
      <c r="W13">
        <f>HYPERLINK("https://klasma.github.io/Logging_0428/klagomålsmail/A 24301-2021 FSC-klagomål mail.docx", "A 24301-2021")</f>
        <v/>
      </c>
      <c r="X13">
        <f>HYPERLINK("https://klasma.github.io/Logging_0428/tillsyn/A 24301-2021 tillsynsbegäran.docx", "A 24301-2021")</f>
        <v/>
      </c>
      <c r="Y13">
        <f>HYPERLINK("https://klasma.github.io/Logging_0428/tillsynsmail/A 24301-2021 tillsynsbegäran mail.docx", "A 24301-2021")</f>
        <v/>
      </c>
      <c r="Z13">
        <f>HYPERLINK("https://klasma.github.io/Logging_0428/fåglar/A 24301-2021 prioriterade fågelarter.docx", "A 24301-2021")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45802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66243-2021</t>
        </is>
      </c>
      <c r="B15" s="1" t="n">
        <v>44518</v>
      </c>
      <c r="C15" s="1" t="n">
        <v>45802</v>
      </c>
      <c r="D15" t="inlineStr">
        <is>
          <t>SÖDERMANLANDS LÄN</t>
        </is>
      </c>
      <c r="E15" t="inlineStr">
        <is>
          <t>VINGÅKER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66243-2021 artfynd.xlsx", "A 66243-2021")</f>
        <v/>
      </c>
      <c r="T15">
        <f>HYPERLINK("https://klasma.github.io/Logging_0428/kartor/A 66243-2021 karta.png", "A 66243-2021")</f>
        <v/>
      </c>
      <c r="V15">
        <f>HYPERLINK("https://klasma.github.io/Logging_0428/klagomål/A 66243-2021 FSC-klagomål.docx", "A 66243-2021")</f>
        <v/>
      </c>
      <c r="W15">
        <f>HYPERLINK("https://klasma.github.io/Logging_0428/klagomålsmail/A 66243-2021 FSC-klagomål mail.docx", "A 66243-2021")</f>
        <v/>
      </c>
      <c r="X15">
        <f>HYPERLINK("https://klasma.github.io/Logging_0428/tillsyn/A 66243-2021 tillsynsbegäran.docx", "A 66243-2021")</f>
        <v/>
      </c>
      <c r="Y15">
        <f>HYPERLINK("https://klasma.github.io/Logging_0428/tillsynsmail/A 66243-2021 tillsynsbegäran mail.docx", "A 66243-2021")</f>
        <v/>
      </c>
    </row>
    <row r="16" ht="15" customHeight="1">
      <c r="A16" t="inlineStr">
        <is>
          <t>A 7767-2022</t>
        </is>
      </c>
      <c r="B16" s="1" t="n">
        <v>44608</v>
      </c>
      <c r="C16" s="1" t="n">
        <v>45802</v>
      </c>
      <c r="D16" t="inlineStr">
        <is>
          <t>SÖDERMANLANDS LÄN</t>
        </is>
      </c>
      <c r="E16" t="inlineStr">
        <is>
          <t>VINGÅKER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HYPERLINK("https://klasma.github.io/Logging_0428/artfynd/A 7767-2022 artfynd.xlsx", "A 7767-2022")</f>
        <v/>
      </c>
      <c r="T16">
        <f>HYPERLINK("https://klasma.github.io/Logging_0428/kartor/A 7767-2022 karta.png", "A 7767-2022")</f>
        <v/>
      </c>
      <c r="V16">
        <f>HYPERLINK("https://klasma.github.io/Logging_0428/klagomål/A 7767-2022 FSC-klagomål.docx", "A 7767-2022")</f>
        <v/>
      </c>
      <c r="W16">
        <f>HYPERLINK("https://klasma.github.io/Logging_0428/klagomålsmail/A 7767-2022 FSC-klagomål mail.docx", "A 7767-2022")</f>
        <v/>
      </c>
      <c r="X16">
        <f>HYPERLINK("https://klasma.github.io/Logging_0428/tillsyn/A 7767-2022 tillsynsbegäran.docx", "A 7767-2022")</f>
        <v/>
      </c>
      <c r="Y16">
        <f>HYPERLINK("https://klasma.github.io/Logging_0428/tillsynsmail/A 7767-2022 tillsynsbegäran mail.docx", "A 7767-2022")</f>
        <v/>
      </c>
    </row>
    <row r="17" ht="15" customHeight="1">
      <c r="A17" t="inlineStr">
        <is>
          <t>A 32279-2023</t>
        </is>
      </c>
      <c r="B17" s="1" t="n">
        <v>45109</v>
      </c>
      <c r="C17" s="1" t="n">
        <v>45802</v>
      </c>
      <c r="D17" t="inlineStr">
        <is>
          <t>SÖDERMANLANDS LÄN</t>
        </is>
      </c>
      <c r="E17" t="inlineStr">
        <is>
          <t>VINGÅKER</t>
        </is>
      </c>
      <c r="G17" t="n">
        <v>11.8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HYPERLINK("https://klasma.github.io/Logging_0428/artfynd/A 32279-2023 artfynd.xlsx", "A 32279-2023")</f>
        <v/>
      </c>
      <c r="T17">
        <f>HYPERLINK("https://klasma.github.io/Logging_0428/kartor/A 32279-2023 karta.png", "A 32279-2023")</f>
        <v/>
      </c>
      <c r="V17">
        <f>HYPERLINK("https://klasma.github.io/Logging_0428/klagomål/A 32279-2023 FSC-klagomål.docx", "A 32279-2023")</f>
        <v/>
      </c>
      <c r="W17">
        <f>HYPERLINK("https://klasma.github.io/Logging_0428/klagomålsmail/A 32279-2023 FSC-klagomål mail.docx", "A 32279-2023")</f>
        <v/>
      </c>
      <c r="X17">
        <f>HYPERLINK("https://klasma.github.io/Logging_0428/tillsyn/A 32279-2023 tillsynsbegäran.docx", "A 32279-2023")</f>
        <v/>
      </c>
      <c r="Y17">
        <f>HYPERLINK("https://klasma.github.io/Logging_0428/tillsynsmail/A 32279-2023 tillsynsbegäran mail.docx", "A 32279-2023")</f>
        <v/>
      </c>
    </row>
    <row r="18" ht="15" customHeight="1">
      <c r="A18" t="inlineStr">
        <is>
          <t>A 18183-2024</t>
        </is>
      </c>
      <c r="B18" s="1" t="n">
        <v>45420</v>
      </c>
      <c r="C18" s="1" t="n">
        <v>45802</v>
      </c>
      <c r="D18" t="inlineStr">
        <is>
          <t>SÖDERMANLANDS LÄN</t>
        </is>
      </c>
      <c r="E18" t="inlineStr">
        <is>
          <t>VINGÅKER</t>
        </is>
      </c>
      <c r="G18" t="n">
        <v>8.199999999999999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HYPERLINK("https://klasma.github.io/Logging_0428/artfynd/A 18183-2024 artfynd.xlsx", "A 18183-2024")</f>
        <v/>
      </c>
      <c r="T18">
        <f>HYPERLINK("https://klasma.github.io/Logging_0428/kartor/A 18183-2024 karta.png", "A 18183-2024")</f>
        <v/>
      </c>
      <c r="V18">
        <f>HYPERLINK("https://klasma.github.io/Logging_0428/klagomål/A 18183-2024 FSC-klagomål.docx", "A 18183-2024")</f>
        <v/>
      </c>
      <c r="W18">
        <f>HYPERLINK("https://klasma.github.io/Logging_0428/klagomålsmail/A 18183-2024 FSC-klagomål mail.docx", "A 18183-2024")</f>
        <v/>
      </c>
      <c r="X18">
        <f>HYPERLINK("https://klasma.github.io/Logging_0428/tillsyn/A 18183-2024 tillsynsbegäran.docx", "A 18183-2024")</f>
        <v/>
      </c>
      <c r="Y18">
        <f>HYPERLINK("https://klasma.github.io/Logging_0428/tillsynsmail/A 18183-2024 tillsynsbegäran mail.docx", "A 18183-2024")</f>
        <v/>
      </c>
    </row>
    <row r="19" ht="15" customHeight="1">
      <c r="A19" t="inlineStr">
        <is>
          <t>A 29788-2024</t>
        </is>
      </c>
      <c r="B19" s="1" t="n">
        <v>45485</v>
      </c>
      <c r="C19" s="1" t="n">
        <v>45802</v>
      </c>
      <c r="D19" t="inlineStr">
        <is>
          <t>SÖDERMANLANDS LÄN</t>
        </is>
      </c>
      <c r="E19" t="inlineStr">
        <is>
          <t>VINGÅKER</t>
        </is>
      </c>
      <c r="G19" t="n">
        <v>7.4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HYPERLINK("https://klasma.github.io/Logging_0428/artfynd/A 29788-2024 artfynd.xlsx", "A 29788-2024")</f>
        <v/>
      </c>
      <c r="T19">
        <f>HYPERLINK("https://klasma.github.io/Logging_0428/kartor/A 29788-2024 karta.png", "A 29788-2024")</f>
        <v/>
      </c>
      <c r="U19">
        <f>HYPERLINK("https://klasma.github.io/Logging_0428/knärot/A 29788-2024 karta knärot.png", "A 29788-2024")</f>
        <v/>
      </c>
      <c r="V19">
        <f>HYPERLINK("https://klasma.github.io/Logging_0428/klagomål/A 29788-2024 FSC-klagomål.docx", "A 29788-2024")</f>
        <v/>
      </c>
      <c r="W19">
        <f>HYPERLINK("https://klasma.github.io/Logging_0428/klagomålsmail/A 29788-2024 FSC-klagomål mail.docx", "A 29788-2024")</f>
        <v/>
      </c>
      <c r="X19">
        <f>HYPERLINK("https://klasma.github.io/Logging_0428/tillsyn/A 29788-2024 tillsynsbegäran.docx", "A 29788-2024")</f>
        <v/>
      </c>
      <c r="Y19">
        <f>HYPERLINK("https://klasma.github.io/Logging_0428/tillsynsmail/A 29788-2024 tillsynsbegäran mail.docx", "A 29788-2024")</f>
        <v/>
      </c>
    </row>
    <row r="20" ht="15" customHeight="1">
      <c r="A20" t="inlineStr">
        <is>
          <t>A 18632-2019</t>
        </is>
      </c>
      <c r="B20" s="1" t="n">
        <v>43559</v>
      </c>
      <c r="C20" s="1" t="n">
        <v>45802</v>
      </c>
      <c r="D20" t="inlineStr">
        <is>
          <t>SÖDERMANLANDS LÄN</t>
        </is>
      </c>
      <c r="E20" t="inlineStr">
        <is>
          <t>VINGÅKER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19449-2019</t>
        </is>
      </c>
      <c r="B21" s="1" t="n">
        <v>43565</v>
      </c>
      <c r="C21" s="1" t="n">
        <v>45802</v>
      </c>
      <c r="D21" t="inlineStr">
        <is>
          <t>SÖDERMANLANDS LÄN</t>
        </is>
      </c>
      <c r="E21" t="inlineStr">
        <is>
          <t>VINGÅKER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20729-2019</t>
        </is>
      </c>
      <c r="B22" s="1" t="n">
        <v>43573</v>
      </c>
      <c r="C22" s="1" t="n">
        <v>45802</v>
      </c>
      <c r="D22" t="inlineStr">
        <is>
          <t>SÖDERMANLANDS LÄN</t>
        </is>
      </c>
      <c r="E22" t="inlineStr">
        <is>
          <t>VINGÅKER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21575-2019</t>
        </is>
      </c>
      <c r="B23" s="1" t="n">
        <v>43580</v>
      </c>
      <c r="C23" s="1" t="n">
        <v>45802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21632-2019</t>
        </is>
      </c>
      <c r="B24" s="1" t="n">
        <v>43580</v>
      </c>
      <c r="C24" s="1" t="n">
        <v>45802</v>
      </c>
      <c r="D24" t="inlineStr">
        <is>
          <t>SÖDERMANLANDS LÄN</t>
        </is>
      </c>
      <c r="E24" t="inlineStr">
        <is>
          <t>VINGÅKER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21630-2019</t>
        </is>
      </c>
      <c r="B25" s="1" t="n">
        <v>43580</v>
      </c>
      <c r="C25" s="1" t="n">
        <v>45802</v>
      </c>
      <c r="D25" t="inlineStr">
        <is>
          <t>SÖDERMANLANDS LÄN</t>
        </is>
      </c>
      <c r="E25" t="inlineStr">
        <is>
          <t>VINGÅKER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21627-2019</t>
        </is>
      </c>
      <c r="B26" s="1" t="n">
        <v>43580</v>
      </c>
      <c r="C26" s="1" t="n">
        <v>45802</v>
      </c>
      <c r="D26" t="inlineStr">
        <is>
          <t>SÖDERMANLANDS LÄN</t>
        </is>
      </c>
      <c r="E26" t="inlineStr">
        <is>
          <t>VINGÅKER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22503-2019</t>
        </is>
      </c>
      <c r="B27" s="1" t="n">
        <v>43587</v>
      </c>
      <c r="C27" s="1" t="n">
        <v>45802</v>
      </c>
      <c r="D27" t="inlineStr">
        <is>
          <t>SÖDERMANLANDS LÄN</t>
        </is>
      </c>
      <c r="E27" t="inlineStr">
        <is>
          <t>VINGÅKER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23244-2019</t>
        </is>
      </c>
      <c r="B28" s="1" t="n">
        <v>43592</v>
      </c>
      <c r="C28" s="1" t="n">
        <v>45802</v>
      </c>
      <c r="D28" t="inlineStr">
        <is>
          <t>SÖDERMANLANDS LÄN</t>
        </is>
      </c>
      <c r="E28" t="inlineStr">
        <is>
          <t>VINGÅKER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26460-2019</t>
        </is>
      </c>
      <c r="B29" s="1" t="n">
        <v>43606</v>
      </c>
      <c r="C29" s="1" t="n">
        <v>45802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25805-2019</t>
        </is>
      </c>
      <c r="B30" s="1" t="n">
        <v>43608</v>
      </c>
      <c r="C30" s="1" t="n">
        <v>45802</v>
      </c>
      <c r="D30" t="inlineStr">
        <is>
          <t>SÖDERMANLANDS LÄN</t>
        </is>
      </c>
      <c r="E30" t="inlineStr">
        <is>
          <t>VINGÅKER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25807-2019</t>
        </is>
      </c>
      <c r="B31" s="1" t="n">
        <v>43608</v>
      </c>
      <c r="C31" s="1" t="n">
        <v>45802</v>
      </c>
      <c r="D31" t="inlineStr">
        <is>
          <t>SÖDERMANLANDS LÄN</t>
        </is>
      </c>
      <c r="E31" t="inlineStr">
        <is>
          <t>VINGÅKER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25802-2019</t>
        </is>
      </c>
      <c r="B32" s="1" t="n">
        <v>43608</v>
      </c>
      <c r="C32" s="1" t="n">
        <v>45802</v>
      </c>
      <c r="D32" t="inlineStr">
        <is>
          <t>SÖDERMANLANDS LÄN</t>
        </is>
      </c>
      <c r="E32" t="inlineStr">
        <is>
          <t>VINGÅKER</t>
        </is>
      </c>
      <c r="G32" t="n">
        <v>20.2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26873-2019</t>
        </is>
      </c>
      <c r="B33" s="1" t="n">
        <v>43608</v>
      </c>
      <c r="C33" s="1" t="n">
        <v>45802</v>
      </c>
      <c r="D33" t="inlineStr">
        <is>
          <t>SÖDERMANLANDS LÄN</t>
        </is>
      </c>
      <c r="E33" t="inlineStr">
        <is>
          <t>VINGÅKER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26848-2019</t>
        </is>
      </c>
      <c r="B34" s="1" t="n">
        <v>43613</v>
      </c>
      <c r="C34" s="1" t="n">
        <v>45802</v>
      </c>
      <c r="D34" t="inlineStr">
        <is>
          <t>SÖDERMANLANDS LÄN</t>
        </is>
      </c>
      <c r="E34" t="inlineStr">
        <is>
          <t>VINGÅKER</t>
        </is>
      </c>
      <c r="F34" t="inlineStr">
        <is>
          <t>Kyrkan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28511-2019</t>
        </is>
      </c>
      <c r="B35" s="1" t="n">
        <v>43626</v>
      </c>
      <c r="C35" s="1" t="n">
        <v>45802</v>
      </c>
      <c r="D35" t="inlineStr">
        <is>
          <t>SÖDERMANLANDS LÄN</t>
        </is>
      </c>
      <c r="E35" t="inlineStr">
        <is>
          <t>VINGÅKER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29258-2019</t>
        </is>
      </c>
      <c r="B36" s="1" t="n">
        <v>43629</v>
      </c>
      <c r="C36" s="1" t="n">
        <v>45802</v>
      </c>
      <c r="D36" t="inlineStr">
        <is>
          <t>SÖDERMANLANDS LÄN</t>
        </is>
      </c>
      <c r="E36" t="inlineStr">
        <is>
          <t>VINGÅKER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31832-2019</t>
        </is>
      </c>
      <c r="B37" s="1" t="n">
        <v>43640</v>
      </c>
      <c r="C37" s="1" t="n">
        <v>45802</v>
      </c>
      <c r="D37" t="inlineStr">
        <is>
          <t>SÖDERMANLANDS LÄN</t>
        </is>
      </c>
      <c r="E37" t="inlineStr">
        <is>
          <t>VINGÅKER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31818-2019</t>
        </is>
      </c>
      <c r="B38" s="1" t="n">
        <v>43640</v>
      </c>
      <c r="C38" s="1" t="n">
        <v>45802</v>
      </c>
      <c r="D38" t="inlineStr">
        <is>
          <t>SÖDERMANLANDS LÄN</t>
        </is>
      </c>
      <c r="E38" t="inlineStr">
        <is>
          <t>VINGÅKER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31835-2019</t>
        </is>
      </c>
      <c r="B39" s="1" t="n">
        <v>43640</v>
      </c>
      <c r="C39" s="1" t="n">
        <v>45802</v>
      </c>
      <c r="D39" t="inlineStr">
        <is>
          <t>SÖDERMANLANDS LÄN</t>
        </is>
      </c>
      <c r="E39" t="inlineStr">
        <is>
          <t>VINGÅKER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32789-2019</t>
        </is>
      </c>
      <c r="B40" s="1" t="n">
        <v>43648</v>
      </c>
      <c r="C40" s="1" t="n">
        <v>45802</v>
      </c>
      <c r="D40" t="inlineStr">
        <is>
          <t>SÖDERMANLANDS LÄN</t>
        </is>
      </c>
      <c r="E40" t="inlineStr">
        <is>
          <t>VINGÅKER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33819-2019</t>
        </is>
      </c>
      <c r="B41" s="1" t="n">
        <v>43651</v>
      </c>
      <c r="C41" s="1" t="n">
        <v>45802</v>
      </c>
      <c r="D41" t="inlineStr">
        <is>
          <t>SÖDERMANLANDS LÄN</t>
        </is>
      </c>
      <c r="E41" t="inlineStr">
        <is>
          <t>VINGÅKER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34226-2019</t>
        </is>
      </c>
      <c r="B42" s="1" t="n">
        <v>43655</v>
      </c>
      <c r="C42" s="1" t="n">
        <v>45802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34459-2019</t>
        </is>
      </c>
      <c r="B43" s="1" t="n">
        <v>43656</v>
      </c>
      <c r="C43" s="1" t="n">
        <v>45802</v>
      </c>
      <c r="D43" t="inlineStr">
        <is>
          <t>SÖDERMANLANDS LÄN</t>
        </is>
      </c>
      <c r="E43" t="inlineStr">
        <is>
          <t>VINGÅKER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34457-2019</t>
        </is>
      </c>
      <c r="B44" s="1" t="n">
        <v>43656</v>
      </c>
      <c r="C44" s="1" t="n">
        <v>45802</v>
      </c>
      <c r="D44" t="inlineStr">
        <is>
          <t>SÖDERMANLANDS LÄN</t>
        </is>
      </c>
      <c r="E44" t="inlineStr">
        <is>
          <t>VINGÅKER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35802-2019</t>
        </is>
      </c>
      <c r="B45" s="1" t="n">
        <v>43656</v>
      </c>
      <c r="C45" s="1" t="n">
        <v>45802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35796-2019</t>
        </is>
      </c>
      <c r="B46" s="1" t="n">
        <v>43656</v>
      </c>
      <c r="C46" s="1" t="n">
        <v>45802</v>
      </c>
      <c r="D46" t="inlineStr">
        <is>
          <t>SÖDERMANLANDS LÄN</t>
        </is>
      </c>
      <c r="E46" t="inlineStr">
        <is>
          <t>VINGÅKER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35773-2019</t>
        </is>
      </c>
      <c r="B47" s="1" t="n">
        <v>43665</v>
      </c>
      <c r="C47" s="1" t="n">
        <v>45802</v>
      </c>
      <c r="D47" t="inlineStr">
        <is>
          <t>SÖDERMANLANDS LÄN</t>
        </is>
      </c>
      <c r="E47" t="inlineStr">
        <is>
          <t>VINGÅKER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36479-2019</t>
        </is>
      </c>
      <c r="B48" s="1" t="n">
        <v>43670</v>
      </c>
      <c r="C48" s="1" t="n">
        <v>45802</v>
      </c>
      <c r="D48" t="inlineStr">
        <is>
          <t>SÖDERMANLANDS LÄN</t>
        </is>
      </c>
      <c r="E48" t="inlineStr">
        <is>
          <t>VINGÅKER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37062-2019</t>
        </is>
      </c>
      <c r="B49" s="1" t="n">
        <v>43676</v>
      </c>
      <c r="C49" s="1" t="n">
        <v>45802</v>
      </c>
      <c r="D49" t="inlineStr">
        <is>
          <t>SÖDERMANLANDS LÄN</t>
        </is>
      </c>
      <c r="E49" t="inlineStr">
        <is>
          <t>VINGÅKER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37742-2019</t>
        </is>
      </c>
      <c r="B50" s="1" t="n">
        <v>43679</v>
      </c>
      <c r="C50" s="1" t="n">
        <v>45802</v>
      </c>
      <c r="D50" t="inlineStr">
        <is>
          <t>SÖDERMANLANDS LÄN</t>
        </is>
      </c>
      <c r="E50" t="inlineStr">
        <is>
          <t>VINGÅKER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45802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45802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45802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45802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45802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45802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45802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45802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45802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45802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45802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45802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45802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45802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45802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45802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45802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45802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45802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45802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45802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45802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45802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45802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45802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45802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45802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45802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45802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45802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45802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45802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45802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45802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45802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45802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45802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45802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45802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45802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45802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45802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45802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45802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45802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45802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45802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45802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45802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45802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45802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45802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45802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45802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45802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45802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45802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45802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45802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45802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45802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45802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45802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45802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45802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45802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45802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45802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45802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45802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45802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45802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45802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45802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45802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45802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45802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45802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45802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45802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45802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45802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45802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45802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45802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45802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45802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45802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45802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45802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45802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45802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45802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45802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45802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45802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45802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45802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45802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45802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45802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45802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45802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45802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45802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45802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45802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45802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45802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45802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45802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45802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45802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45802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45802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45802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45802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45802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45802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45802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45802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45802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45802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45802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45802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45802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45802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45802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45802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45802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45802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45802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45802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45802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45802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45802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45802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45802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45802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45802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45802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45802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45802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45802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45802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45802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45802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45802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45802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45802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45802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45802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45802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45802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45802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45802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45802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45802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45802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45802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45802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45802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45802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45802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45802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45802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45802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45802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45802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45802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45802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45802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45802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45802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45802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45802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45802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45802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45802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45802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45802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45802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45802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45802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45802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45802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45802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45802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45802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45802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45802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45802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45802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45802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45802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45802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45802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45802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45802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45802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45802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45802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45802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45802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45802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45802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45802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45802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45802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45802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45802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45802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45802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45802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45802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45802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45802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45802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45802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45802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45802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45802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45802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45802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45802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45802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45802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45802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45802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45802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45802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45802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45802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45802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45802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45802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45802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45802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45802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45802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45802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45802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45802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45802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45802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45802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45802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45802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45802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45802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45802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45802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45802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45802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45802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45802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45802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45802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45802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45802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45802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45802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45802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45802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45802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45802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45802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45802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45802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45802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45802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45802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45802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45802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45802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45802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45802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45802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45802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45802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45802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45802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45802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45802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45802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45802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45802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45802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45802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45802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45802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45802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45802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45802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45802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45802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45802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45802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45802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45802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45802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45802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45802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45802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45802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45802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45802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45802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45802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45802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45802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45802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45802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45802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45802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45802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45802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45802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45802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45802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45802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45802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45802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45802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45802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45802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45802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45802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45802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45802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45802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45802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45802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45802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45802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45802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45802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45802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45802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45802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45802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45802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45802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45802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45802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45802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45802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45802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45802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45802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45802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45802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45802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45802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45802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45802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45802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45802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45802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45802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45802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45802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45802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45802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45802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45802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45802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45802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45802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45802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45802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45802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45802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45802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45802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45802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45802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45802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45802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45802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45802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45802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45802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45802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45802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45802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45802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45802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45802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45802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45802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45802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45802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45802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45802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45802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45802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45802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45802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45802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45802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45802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45802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45802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45802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45802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45802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45802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45802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45802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45802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45802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45802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45802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45802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45802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45802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45802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45802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45802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45802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45802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45802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45802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45802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45802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45802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45802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45802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45802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45802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45802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45802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45802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45802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45802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45802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45802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45802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45802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45802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45802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45802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45802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45802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45802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45802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45802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45802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45802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45802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45802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45802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45802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45802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45802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45802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45802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45802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45802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45802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45802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45802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45802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45802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45802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45802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45802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45802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45802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45802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45802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45802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45802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45802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45802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45802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45802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45802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45802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45802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45802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45802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45802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45802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45802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45802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45802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45802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45802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45802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45802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45802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45802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45802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45802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45802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45802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45802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45802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45802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45802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45802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45802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45802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45802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45802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45802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45802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45802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45802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45802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45802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45802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45802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45802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45802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45802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45802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45802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45802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45802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45802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45802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45802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45802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45802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45802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45802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45802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17178-2025</t>
        </is>
      </c>
      <c r="B581" s="1" t="n">
        <v>45755</v>
      </c>
      <c r="C581" s="1" t="n">
        <v>45802</v>
      </c>
      <c r="D581" t="inlineStr">
        <is>
          <t>SÖDERMANLANDS LÄN</t>
        </is>
      </c>
      <c r="E581" t="inlineStr">
        <is>
          <t>VINGÅKER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16986-2025</t>
        </is>
      </c>
      <c r="B582" s="1" t="n">
        <v>45755</v>
      </c>
      <c r="C582" s="1" t="n">
        <v>45802</v>
      </c>
      <c r="D582" t="inlineStr">
        <is>
          <t>SÖDERMANLANDS LÄN</t>
        </is>
      </c>
      <c r="E582" t="inlineStr">
        <is>
          <t>VINGÅKER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45802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18089-2025</t>
        </is>
      </c>
      <c r="B584" s="1" t="n">
        <v>45761</v>
      </c>
      <c r="C584" s="1" t="n">
        <v>45802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18091-2025</t>
        </is>
      </c>
      <c r="B585" s="1" t="n">
        <v>45761</v>
      </c>
      <c r="C585" s="1" t="n">
        <v>45802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18777-2025</t>
        </is>
      </c>
      <c r="B586" s="1" t="n">
        <v>45764</v>
      </c>
      <c r="C586" s="1" t="n">
        <v>45802</v>
      </c>
      <c r="D586" t="inlineStr">
        <is>
          <t>SÖDERMANLANDS LÄN</t>
        </is>
      </c>
      <c r="E586" t="inlineStr">
        <is>
          <t>VINGÅKER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18797-2025</t>
        </is>
      </c>
      <c r="B587" s="1" t="n">
        <v>45764</v>
      </c>
      <c r="C587" s="1" t="n">
        <v>45802</v>
      </c>
      <c r="D587" t="inlineStr">
        <is>
          <t>SÖDERMANLANDS LÄN</t>
        </is>
      </c>
      <c r="E587" t="inlineStr">
        <is>
          <t>VINGÅKER</t>
        </is>
      </c>
      <c r="F587" t="inlineStr">
        <is>
          <t>Sveaskog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18788-2025</t>
        </is>
      </c>
      <c r="B588" s="1" t="n">
        <v>45764</v>
      </c>
      <c r="C588" s="1" t="n">
        <v>45802</v>
      </c>
      <c r="D588" t="inlineStr">
        <is>
          <t>SÖDERMANLANDS LÄN</t>
        </is>
      </c>
      <c r="E588" t="inlineStr">
        <is>
          <t>VINGÅKER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20301-2025</t>
        </is>
      </c>
      <c r="B589" s="1" t="n">
        <v>45774</v>
      </c>
      <c r="C589" s="1" t="n">
        <v>45802</v>
      </c>
      <c r="D589" t="inlineStr">
        <is>
          <t>SÖDERMANLANDS LÄN</t>
        </is>
      </c>
      <c r="E589" t="inlineStr">
        <is>
          <t>VINGÅKER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20666-2025</t>
        </is>
      </c>
      <c r="B590" s="1" t="n">
        <v>45776</v>
      </c>
      <c r="C590" s="1" t="n">
        <v>45802</v>
      </c>
      <c r="D590" t="inlineStr">
        <is>
          <t>SÖDERMANLANDS LÄN</t>
        </is>
      </c>
      <c r="E590" t="inlineStr">
        <is>
          <t>VINGÅKER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>
      <c r="A591" t="inlineStr">
        <is>
          <t>A 23953-2025</t>
        </is>
      </c>
      <c r="B591" s="1" t="n">
        <v>45796</v>
      </c>
      <c r="C591" s="1" t="n">
        <v>45802</v>
      </c>
      <c r="D591" t="inlineStr">
        <is>
          <t>SÖDERMANLANDS LÄN</t>
        </is>
      </c>
      <c r="E591" t="inlineStr">
        <is>
          <t>VINGÅKER</t>
        </is>
      </c>
      <c r="F591" t="inlineStr">
        <is>
          <t>Övriga Aktiebolag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2025-05-25T18:15:11Z</dcterms:created>
  <dcterms:modified xmlns:dcterms="http://purl.org/dc/terms/" xmlns:xsi="http://www.w3.org/2001/XMLSchema-instance" xsi:type="dcterms:W3CDTF">2025-05-25T18:15:12Z</dcterms:modified>
</cp:coreProperties>
</file>