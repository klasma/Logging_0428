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54381-2023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45226</v>
      </c>
      <c r="E2" s="1" t="n">
        <v>46317</v>
      </c>
      <c r="F2" t="inlineStr">
        <is>
          <t>SÖDERMANLANDS LÄN</t>
        </is>
      </c>
      <c r="G2" t="inlineStr">
        <is>
          <t>VINGÅKER</t>
        </is>
      </c>
      <c r="I2" t="n">
        <v>10.7</v>
      </c>
      <c r="J2" t="n">
        <v>3</v>
      </c>
      <c r="K2" t="n">
        <v>5</v>
      </c>
      <c r="L2" t="n">
        <v>4</v>
      </c>
      <c r="M2" t="n">
        <v>0</v>
      </c>
      <c r="N2" t="n">
        <v>1</v>
      </c>
      <c r="O2" t="n">
        <v>0</v>
      </c>
      <c r="P2" t="n">
        <v>0</v>
      </c>
      <c r="Q2" t="n">
        <v>5</v>
      </c>
      <c r="R2" t="n">
        <v>1</v>
      </c>
      <c r="S2" t="n">
        <v>12</v>
      </c>
      <c r="T2" t="n">
        <v>19</v>
      </c>
      <c r="U2" t="n">
        <v>3</v>
      </c>
      <c r="V2" s="2" t="inlineStr">
        <is>
          <t>Brandtaggsvamp
Björktrast
Fjällig taggsvamp s.str.
Orange taggsvamp
Älg
Blodvaxing
Hasselticka
Rödgul trumpetsvamp
Svart trolldruva
Svavelriska
Blåsippa
Gullviva</t>
        </is>
      </c>
      <c r="W2">
        <f>HYPERLINK("https://klasma.github.io/Logging_0428/artfynd/A 54381-2023 artfynd.xlsx", "A 54381-2023")</f>
        <v/>
      </c>
      <c r="X2">
        <f>HYPERLINK("https://klasma.github.io/Logging_0428/kartor/A 54381-2023 karta.png", "A 54381-2023")</f>
        <v/>
      </c>
      <c r="Y2">
        <f>HYPERLINK("https://klasma.github.io/Logging_0428/kartor_geotiff/A 54381-2023 georefererad karta.tif", "A 54381-2023")</f>
        <v/>
      </c>
      <c r="AA2">
        <f>HYPERLINK("https://klasma.github.io/Logging_0428/klagomål/A 54381-2023 FSC-klagomål.docx", "A 54381-2023")</f>
        <v/>
      </c>
      <c r="AB2">
        <f>HYPERLINK("https://klasma.github.io/Logging_0428/klagomålsmail/A 54381-2023 FSC-klagomål mail.docx", "A 54381-2023")</f>
        <v/>
      </c>
      <c r="AC2">
        <f>HYPERLINK("https://klasma.github.io/Logging_0428/tillsyn/A 54381-2023 tillsynsbegäran.docx", "A 54381-2023")</f>
        <v/>
      </c>
      <c r="AD2">
        <f>HYPERLINK("https://klasma.github.io/Logging_0428/tillsynsmail/A 54381-2023 tillsynsbegäran mail.docx", "A 54381-2023")</f>
        <v/>
      </c>
      <c r="AE2">
        <f>HYPERLINK("https://klasma.github.io/Logging_0428/fåglar/A 54381-2023 prioriterade fågelarter.docx", "A 54381-2023")</f>
        <v/>
      </c>
    </row>
    <row r="3" ht="15" customHeight="1">
      <c r="A3" t="inlineStr">
        <is>
          <t>A 13073-2023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45001</v>
      </c>
      <c r="E3" s="1" t="n">
        <v>46317</v>
      </c>
      <c r="F3" t="inlineStr">
        <is>
          <t>SÖDERMANLANDS LÄN</t>
        </is>
      </c>
      <c r="G3" t="inlineStr">
        <is>
          <t>VINGÅKER</t>
        </is>
      </c>
      <c r="I3" t="n">
        <v>5.4</v>
      </c>
      <c r="J3" t="n">
        <v>10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11</v>
      </c>
      <c r="T3" t="n">
        <v>18</v>
      </c>
      <c r="U3" t="n">
        <v>18</v>
      </c>
      <c r="V3" s="2" t="inlineStr">
        <is>
          <t>Drillsnäppa
Göktyta
Ladusvala
Tallticka
Spillkråka
Gröngöling
Grönsiska
Kråka
Kungsfågel
Svartvit flugsnappare
Trana</t>
        </is>
      </c>
      <c r="W3">
        <f>HYPERLINK("https://klasma.github.io/Logging_0428/artfynd/A 13073-2023 artfynd.xlsx", "A 13073-2023")</f>
        <v/>
      </c>
      <c r="X3">
        <f>HYPERLINK("https://klasma.github.io/Logging_0428/kartor/A 13073-2023 karta.png", "A 13073-2023")</f>
        <v/>
      </c>
      <c r="Y3">
        <f>HYPERLINK("https://klasma.github.io/Logging_0428/kartor_geotiff/A 13073-2023 georefererad karta.tif", "A 13073-2023")</f>
        <v/>
      </c>
      <c r="AA3">
        <f>HYPERLINK("https://klasma.github.io/Logging_0428/klagomål/A 13073-2023 FSC-klagomål.docx", "A 13073-2023")</f>
        <v/>
      </c>
      <c r="AB3">
        <f>HYPERLINK("https://klasma.github.io/Logging_0428/klagomålsmail/A 13073-2023 FSC-klagomål mail.docx", "A 13073-2023")</f>
        <v/>
      </c>
      <c r="AC3">
        <f>HYPERLINK("https://klasma.github.io/Logging_0428/tillsyn/A 13073-2023 tillsynsbegäran.docx", "A 13073-2023")</f>
        <v/>
      </c>
      <c r="AD3">
        <f>HYPERLINK("https://klasma.github.io/Logging_0428/tillsynsmail/A 13073-2023 tillsynsbegäran mail.docx", "A 13073-2023")</f>
        <v/>
      </c>
      <c r="AE3">
        <f>HYPERLINK("https://klasma.github.io/Logging_0428/fåglar/A 13073-2023 prioriterade fågelarter.docx", "A 13073-2023")</f>
        <v/>
      </c>
    </row>
    <row r="4" ht="15" customHeight="1">
      <c r="A4" t="inlineStr">
        <is>
          <t>S 6326-2022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44872</v>
      </c>
      <c r="E4" s="1" t="n">
        <v>46317</v>
      </c>
      <c r="F4" t="inlineStr">
        <is>
          <t>SÖDERMANLANDS LÄN</t>
        </is>
      </c>
      <c r="G4" t="inlineStr">
        <is>
          <t>VINGÅKER</t>
        </is>
      </c>
      <c r="I4" t="n">
        <v>8.800000000000001</v>
      </c>
      <c r="J4" t="n">
        <v>2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7</v>
      </c>
      <c r="T4" t="n">
        <v>7</v>
      </c>
      <c r="U4" t="n">
        <v>2</v>
      </c>
      <c r="V4" s="2" t="inlineStr">
        <is>
          <t>Kandelabersvamp
Vårärt
Blomskägglav
Hasselticka
Vätteros
Blåsippa
Gullviva</t>
        </is>
      </c>
      <c r="W4">
        <f>HYPERLINK("https://klasma.github.io/Logging_0428/artfynd/S 6326-2022 artfynd.xlsx", "S 6326-2022")</f>
        <v/>
      </c>
      <c r="X4">
        <f>HYPERLINK("https://klasma.github.io/Logging_0428/kartor/S 6326-2022 karta.png", "S 6326-2022")</f>
        <v/>
      </c>
      <c r="Y4">
        <f>HYPERLINK("https://klasma.github.io/Logging_0428/kartor_geotiff/S 6326-2022 georefererad karta.tif", "S 6326-2022")</f>
        <v/>
      </c>
      <c r="AA4">
        <f>HYPERLINK("https://klasma.github.io/Logging_0428/klagomål/S 6326-2022 FSC-klagomål.docx", "S 6326-2022")</f>
        <v/>
      </c>
      <c r="AB4">
        <f>HYPERLINK("https://klasma.github.io/Logging_0428/klagomålsmail/S 6326-2022 FSC-klagomål mail.docx", "S 6326-2022")</f>
        <v/>
      </c>
      <c r="AC4">
        <f>HYPERLINK("https://klasma.github.io/Logging_0428/tillsyn/S 6326-2022 tillsynsbegäran.docx", "S 6326-2022")</f>
        <v/>
      </c>
      <c r="AD4">
        <f>HYPERLINK("https://klasma.github.io/Logging_0428/tillsynsmail/S 6326-2022 tillsynsbegäran mail.docx", "S 6326-2022")</f>
        <v/>
      </c>
    </row>
    <row r="5" ht="15" customHeight="1">
      <c r="A5" t="inlineStr">
        <is>
          <t>A 66246-2021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44518</v>
      </c>
      <c r="E5" s="1" t="n">
        <v>46317</v>
      </c>
      <c r="F5" t="inlineStr">
        <is>
          <t>SÖDERMANLANDS LÄN</t>
        </is>
      </c>
      <c r="G5" t="inlineStr">
        <is>
          <t>VINGÅKER</t>
        </is>
      </c>
      <c r="I5" t="n">
        <v>5.2</v>
      </c>
      <c r="J5" t="n">
        <v>0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4</v>
      </c>
      <c r="T5" t="n">
        <v>5</v>
      </c>
      <c r="U5" t="n">
        <v>0</v>
      </c>
      <c r="V5" s="2" t="inlineStr">
        <is>
          <t>Dropptaggsvamp
Tallticka
Vedskivlav
Mindre märgborre</t>
        </is>
      </c>
      <c r="W5">
        <f>HYPERLINK("https://klasma.github.io/Logging_0428/artfynd/A 66246-2021 artfynd.xlsx", "A 66246-2021")</f>
        <v/>
      </c>
      <c r="X5">
        <f>HYPERLINK("https://klasma.github.io/Logging_0428/kartor/A 66246-2021 karta.png", "A 66246-2021")</f>
        <v/>
      </c>
      <c r="Y5">
        <f>HYPERLINK("https://klasma.github.io/Logging_0428/kartor_geotiff/A 66246-2021 georefererad karta.tif", "A 66246-2021")</f>
        <v/>
      </c>
      <c r="AA5">
        <f>HYPERLINK("https://klasma.github.io/Logging_0428/klagomål/A 66246-2021 FSC-klagomål.docx", "A 66246-2021")</f>
        <v/>
      </c>
      <c r="AB5">
        <f>HYPERLINK("https://klasma.github.io/Logging_0428/klagomålsmail/A 66246-2021 FSC-klagomål mail.docx", "A 66246-2021")</f>
        <v/>
      </c>
      <c r="AC5">
        <f>HYPERLINK("https://klasma.github.io/Logging_0428/tillsyn/A 66246-2021 tillsynsbegäran.docx", "A 66246-2021")</f>
        <v/>
      </c>
      <c r="AD5">
        <f>HYPERLINK("https://klasma.github.io/Logging_0428/tillsynsmail/A 66246-2021 tillsynsbegäran mail.docx", "A 66246-2021")</f>
        <v/>
      </c>
    </row>
    <row r="6" ht="15" customHeight="1">
      <c r="A6" t="inlineStr">
        <is>
          <t>A 10541-2026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46077</v>
      </c>
      <c r="E6" s="1" t="n">
        <v>46317</v>
      </c>
      <c r="F6" t="inlineStr">
        <is>
          <t>SÖDERMANLANDS LÄN</t>
        </is>
      </c>
      <c r="G6" t="inlineStr">
        <is>
          <t>VINGÅKER</t>
        </is>
      </c>
      <c r="I6" t="n">
        <v>2.5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3</v>
      </c>
      <c r="T6" t="n">
        <v>3</v>
      </c>
      <c r="U6" t="n">
        <v>0</v>
      </c>
      <c r="V6" s="2" t="inlineStr">
        <is>
          <t>Ekticka
Rödvingetrast
Spillkråka</t>
        </is>
      </c>
      <c r="W6">
        <f>HYPERLINK("https://klasma.github.io/Logging_0428/artfynd/A 10541-2026 artfynd.xlsx", "A 10541-2026")</f>
        <v/>
      </c>
      <c r="X6">
        <f>HYPERLINK("https://klasma.github.io/Logging_0428/kartor/A 10541-2026 karta.png", "A 10541-2026")</f>
        <v/>
      </c>
      <c r="Y6">
        <f>HYPERLINK("https://klasma.github.io/Logging_0428/kartor_geotiff/A 10541-2026 georefererad karta.tif", "A 10541-2026")</f>
        <v/>
      </c>
      <c r="AA6">
        <f>HYPERLINK("https://klasma.github.io/Logging_0428/klagomål/A 10541-2026 FSC-klagomål.docx", "A 10541-2026")</f>
        <v/>
      </c>
      <c r="AB6">
        <f>HYPERLINK("https://klasma.github.io/Logging_0428/klagomålsmail/A 10541-2026 FSC-klagomål mail.docx", "A 10541-2026")</f>
        <v/>
      </c>
      <c r="AC6">
        <f>HYPERLINK("https://klasma.github.io/Logging_0428/tillsyn/A 10541-2026 tillsynsbegäran.docx", "A 10541-2026")</f>
        <v/>
      </c>
      <c r="AD6">
        <f>HYPERLINK("https://klasma.github.io/Logging_0428/tillsynsmail/A 10541-2026 tillsynsbegäran mail.docx", "A 10541-2026")</f>
        <v/>
      </c>
      <c r="AE6">
        <f>HYPERLINK("https://klasma.github.io/Logging_0428/fåglar/A 10541-2026 prioriterade fågelarter.docx", "A 10541-2026")</f>
        <v/>
      </c>
    </row>
    <row r="7" ht="15" customHeight="1">
      <c r="A7" t="inlineStr">
        <is>
          <t>A 1826-2023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44938</v>
      </c>
      <c r="E7" s="1" t="n">
        <v>46317</v>
      </c>
      <c r="F7" t="inlineStr">
        <is>
          <t>SÖDERMANLANDS LÄN</t>
        </is>
      </c>
      <c r="G7" t="inlineStr">
        <is>
          <t>VINGÅKER</t>
        </is>
      </c>
      <c r="I7" t="n">
        <v>1.3</v>
      </c>
      <c r="J7" t="n">
        <v>1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Jungfrulin
Vanlig backsmörblomma
Gullviva</t>
        </is>
      </c>
      <c r="W7">
        <f>HYPERLINK("https://klasma.github.io/Logging_0428/artfynd/A 1826-2023 artfynd.xlsx", "A 1826-2023")</f>
        <v/>
      </c>
      <c r="X7">
        <f>HYPERLINK("https://klasma.github.io/Logging_0428/kartor/A 1826-2023 karta.png", "A 1826-2023")</f>
        <v/>
      </c>
      <c r="Y7">
        <f>HYPERLINK("https://klasma.github.io/Logging_0428/kartor_geotiff/A 1826-2023 georefererad karta.tif", "A 1826-2023")</f>
        <v/>
      </c>
      <c r="AA7">
        <f>HYPERLINK("https://klasma.github.io/Logging_0428/klagomål/A 1826-2023 FSC-klagomål.docx", "A 1826-2023")</f>
        <v/>
      </c>
      <c r="AB7">
        <f>HYPERLINK("https://klasma.github.io/Logging_0428/klagomålsmail/A 1826-2023 FSC-klagomål mail.docx", "A 1826-2023")</f>
        <v/>
      </c>
      <c r="AC7">
        <f>HYPERLINK("https://klasma.github.io/Logging_0428/tillsyn/A 1826-2023 tillsynsbegäran.docx", "A 1826-2023")</f>
        <v/>
      </c>
      <c r="AD7">
        <f>HYPERLINK("https://klasma.github.io/Logging_0428/tillsynsmail/A 1826-2023 tillsynsbegäran mail.docx", "A 1826-2023")</f>
        <v/>
      </c>
    </row>
    <row r="8" ht="15" customHeight="1">
      <c r="A8" t="inlineStr">
        <is>
          <t>A 30575-2022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44762</v>
      </c>
      <c r="E8" s="1" t="n">
        <v>46317</v>
      </c>
      <c r="F8" t="inlineStr">
        <is>
          <t>SÖDERMANLANDS LÄN</t>
        </is>
      </c>
      <c r="G8" t="inlineStr">
        <is>
          <t>VINGÅKER</t>
        </is>
      </c>
      <c r="H8" t="inlineStr">
        <is>
          <t>Övriga Aktiebolag</t>
        </is>
      </c>
      <c r="I8" t="n">
        <v>10.5</v>
      </c>
      <c r="J8" t="n">
        <v>2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3</v>
      </c>
      <c r="U8" t="n">
        <v>1</v>
      </c>
      <c r="V8" s="2" t="inlineStr">
        <is>
          <t>Igelkott
Skogsknipprot
Blåsippa</t>
        </is>
      </c>
      <c r="W8">
        <f>HYPERLINK("https://klasma.github.io/Logging_0428/artfynd/A 30575-2022 artfynd.xlsx", "A 30575-2022")</f>
        <v/>
      </c>
      <c r="X8">
        <f>HYPERLINK("https://klasma.github.io/Logging_0428/kartor/A 30575-2022 karta.png", "A 30575-2022")</f>
        <v/>
      </c>
      <c r="Y8">
        <f>HYPERLINK("https://klasma.github.io/Logging_0428/kartor_geotiff/A 30575-2022 georefererad karta.tif", "A 30575-2022")</f>
        <v/>
      </c>
      <c r="AA8">
        <f>HYPERLINK("https://klasma.github.io/Logging_0428/klagomål/A 30575-2022 FSC-klagomål.docx", "A 30575-2022")</f>
        <v/>
      </c>
      <c r="AB8">
        <f>HYPERLINK("https://klasma.github.io/Logging_0428/klagomålsmail/A 30575-2022 FSC-klagomål mail.docx", "A 30575-2022")</f>
        <v/>
      </c>
      <c r="AC8">
        <f>HYPERLINK("https://klasma.github.io/Logging_0428/tillsyn/A 30575-2022 tillsynsbegäran.docx", "A 30575-2022")</f>
        <v/>
      </c>
      <c r="AD8">
        <f>HYPERLINK("https://klasma.github.io/Logging_0428/tillsynsmail/A 30575-2022 tillsynsbegäran mail.docx", "A 30575-2022")</f>
        <v/>
      </c>
    </row>
    <row r="9" ht="15" customHeight="1">
      <c r="A9" t="inlineStr">
        <is>
          <t>S 2352-2022</t>
        </is>
      </c>
      <c r="B9" t="inlineStr">
        <is>
          <t>samrådsanmälan</t>
        </is>
      </c>
      <c r="C9" t="inlineStr">
        <is>
          <t>Åtgärd i nyckelbiotop</t>
        </is>
      </c>
      <c r="D9" s="1" t="n">
        <v>44686</v>
      </c>
      <c r="E9" s="1" t="n">
        <v>46317</v>
      </c>
      <c r="F9" t="inlineStr">
        <is>
          <t>SÖDERMANLANDS LÄN</t>
        </is>
      </c>
      <c r="G9" t="inlineStr">
        <is>
          <t>VINGÅKER</t>
        </is>
      </c>
      <c r="I9" t="n">
        <v>4.2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3</v>
      </c>
      <c r="U9" t="n">
        <v>0</v>
      </c>
      <c r="V9" s="2" t="inlineStr">
        <is>
          <t>Bronshjon
Jättesvampmal
Vågbandad barkbock</t>
        </is>
      </c>
      <c r="W9">
        <f>HYPERLINK("https://klasma.github.io/Logging_0428/artfynd/S 2352-2022 artfynd.xlsx", "S 2352-2022")</f>
        <v/>
      </c>
      <c r="X9">
        <f>HYPERLINK("https://klasma.github.io/Logging_0428/kartor/S 2352-2022 karta.png", "S 2352-2022")</f>
        <v/>
      </c>
      <c r="Y9">
        <f>HYPERLINK("https://klasma.github.io/Logging_0428/kartor_geotiff/S 2352-2022 georefererad karta.tif", "S 2352-2022")</f>
        <v/>
      </c>
      <c r="AA9">
        <f>HYPERLINK("https://klasma.github.io/Logging_0428/klagomål/S 2352-2022 FSC-klagomål.docx", "S 2352-2022")</f>
        <v/>
      </c>
      <c r="AB9">
        <f>HYPERLINK("https://klasma.github.io/Logging_0428/klagomålsmail/S 2352-2022 FSC-klagomål mail.docx", "S 2352-2022")</f>
        <v/>
      </c>
      <c r="AC9">
        <f>HYPERLINK("https://klasma.github.io/Logging_0428/tillsyn/S 2352-2022 tillsynsbegäran.docx", "S 2352-2022")</f>
        <v/>
      </c>
      <c r="AD9">
        <f>HYPERLINK("https://klasma.github.io/Logging_0428/tillsynsmail/S 2352-2022 tillsynsbegäran mail.docx", "S 2352-2022")</f>
        <v/>
      </c>
    </row>
    <row r="10" ht="15" customHeight="1">
      <c r="A10" t="inlineStr">
        <is>
          <t>A 7767-2022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44608</v>
      </c>
      <c r="E10" s="1" t="n">
        <v>46317</v>
      </c>
      <c r="F10" t="inlineStr">
        <is>
          <t>SÖDERMANLANDS LÄN</t>
        </is>
      </c>
      <c r="G10" t="inlineStr">
        <is>
          <t>VINGÅKER</t>
        </is>
      </c>
      <c r="I10" t="n">
        <v>11.5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Blomkålssvamp</t>
        </is>
      </c>
      <c r="W10">
        <f>HYPERLINK("https://klasma.github.io/Logging_0428/artfynd/A 7767-2022 artfynd.xlsx", "A 7767-2022")</f>
        <v/>
      </c>
      <c r="X10">
        <f>HYPERLINK("https://klasma.github.io/Logging_0428/kartor/A 7767-2022 karta.png", "A 7767-2022")</f>
        <v/>
      </c>
      <c r="Y10">
        <f>HYPERLINK("https://klasma.github.io/Logging_0428/kartor_geotiff/A 7767-2022 georefererad karta.tif", "A 7767-2022")</f>
        <v/>
      </c>
      <c r="AA10">
        <f>HYPERLINK("https://klasma.github.io/Logging_0428/klagomål/A 7767-2022 FSC-klagomål.docx", "A 7767-2022")</f>
        <v/>
      </c>
      <c r="AB10">
        <f>HYPERLINK("https://klasma.github.io/Logging_0428/klagomålsmail/A 7767-2022 FSC-klagomål mail.docx", "A 7767-2022")</f>
        <v/>
      </c>
      <c r="AC10">
        <f>HYPERLINK("https://klasma.github.io/Logging_0428/tillsyn/A 7767-2022 tillsynsbegäran.docx", "A 7767-2022")</f>
        <v/>
      </c>
      <c r="AD10">
        <f>HYPERLINK("https://klasma.github.io/Logging_0428/tillsynsmail/A 7767-2022 tillsynsbegäran mail.docx", "A 7767-2022")</f>
        <v/>
      </c>
    </row>
    <row r="11" ht="15" customHeight="1">
      <c r="A11" t="inlineStr">
        <is>
          <t>A 57938-2025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45982</v>
      </c>
      <c r="E11" s="1" t="n">
        <v>46317</v>
      </c>
      <c r="F11" t="inlineStr">
        <is>
          <t>SÖDERMANLANDS LÄN</t>
        </is>
      </c>
      <c r="G11" t="inlineStr">
        <is>
          <t>VINGÅKER</t>
        </is>
      </c>
      <c r="I11" t="n">
        <v>4.3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Mindre hackspett</t>
        </is>
      </c>
      <c r="W11">
        <f>HYPERLINK("https://klasma.github.io/Logging_0428/artfynd/A 57938-2025 artfynd.xlsx", "A 57938-2025")</f>
        <v/>
      </c>
      <c r="X11">
        <f>HYPERLINK("https://klasma.github.io/Logging_0428/kartor/A 57938-2025 karta.png", "A 57938-2025")</f>
        <v/>
      </c>
      <c r="Y11">
        <f>HYPERLINK("https://klasma.github.io/Logging_0428/kartor_geotiff/A 57938-2025 georefererad karta.tif", "A 57938-2025")</f>
        <v/>
      </c>
      <c r="AA11">
        <f>HYPERLINK("https://klasma.github.io/Logging_0428/klagomål/A 57938-2025 FSC-klagomål.docx", "A 57938-2025")</f>
        <v/>
      </c>
      <c r="AB11">
        <f>HYPERLINK("https://klasma.github.io/Logging_0428/klagomålsmail/A 57938-2025 FSC-klagomål mail.docx", "A 57938-2025")</f>
        <v/>
      </c>
      <c r="AC11">
        <f>HYPERLINK("https://klasma.github.io/Logging_0428/tillsyn/A 57938-2025 tillsynsbegäran.docx", "A 57938-2025")</f>
        <v/>
      </c>
      <c r="AD11">
        <f>HYPERLINK("https://klasma.github.io/Logging_0428/tillsynsmail/A 57938-2025 tillsynsbegäran mail.docx", "A 57938-2025")</f>
        <v/>
      </c>
      <c r="AE11">
        <f>HYPERLINK("https://klasma.github.io/Logging_0428/fåglar/A 57938-2025 prioriterade fågelarter.docx", "A 57938-2025")</f>
        <v/>
      </c>
    </row>
    <row r="12" ht="15" customHeight="1">
      <c r="A12" t="inlineStr">
        <is>
          <t>A 58185-2025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45983</v>
      </c>
      <c r="E12" s="1" t="n">
        <v>46317</v>
      </c>
      <c r="F12" t="inlineStr">
        <is>
          <t>SÖDERMANLANDS LÄN</t>
        </is>
      </c>
      <c r="G12" t="inlineStr">
        <is>
          <t>VINGÅKER</t>
        </is>
      </c>
      <c r="I12" t="n">
        <v>4.6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Mindre hackspett</t>
        </is>
      </c>
      <c r="W12">
        <f>HYPERLINK("https://klasma.github.io/Logging_0428/artfynd/A 58185-2025 artfynd.xlsx", "A 58185-2025")</f>
        <v/>
      </c>
      <c r="X12">
        <f>HYPERLINK("https://klasma.github.io/Logging_0428/kartor/A 58185-2025 karta.png", "A 58185-2025")</f>
        <v/>
      </c>
      <c r="Y12">
        <f>HYPERLINK("https://klasma.github.io/Logging_0428/kartor_geotiff/A 58185-2025 georefererad karta.tif", "A 58185-2025")</f>
        <v/>
      </c>
      <c r="AA12">
        <f>HYPERLINK("https://klasma.github.io/Logging_0428/klagomål/A 58185-2025 FSC-klagomål.docx", "A 58185-2025")</f>
        <v/>
      </c>
      <c r="AB12">
        <f>HYPERLINK("https://klasma.github.io/Logging_0428/klagomålsmail/A 58185-2025 FSC-klagomål mail.docx", "A 58185-2025")</f>
        <v/>
      </c>
      <c r="AC12">
        <f>HYPERLINK("https://klasma.github.io/Logging_0428/tillsyn/A 58185-2025 tillsynsbegäran.docx", "A 58185-2025")</f>
        <v/>
      </c>
      <c r="AD12">
        <f>HYPERLINK("https://klasma.github.io/Logging_0428/tillsynsmail/A 58185-2025 tillsynsbegäran mail.docx", "A 58185-2025")</f>
        <v/>
      </c>
      <c r="AE12">
        <f>HYPERLINK("https://klasma.github.io/Logging_0428/fåglar/A 58185-2025 prioriterade fågelarter.docx", "A 58185-2025")</f>
        <v/>
      </c>
    </row>
    <row r="13" ht="15" customHeight="1">
      <c r="A13" t="inlineStr">
        <is>
          <t>A 31214-2022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44771</v>
      </c>
      <c r="E13" s="1" t="n">
        <v>46317</v>
      </c>
      <c r="F13" t="inlineStr">
        <is>
          <t>SÖDERMANLANDS LÄN</t>
        </is>
      </c>
      <c r="G13" t="inlineStr">
        <is>
          <t>VINGÅKER</t>
        </is>
      </c>
      <c r="I13" t="n">
        <v>0.7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14537-2022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44655</v>
      </c>
      <c r="E14" s="1" t="n">
        <v>46317</v>
      </c>
      <c r="F14" t="inlineStr">
        <is>
          <t>SÖDERMANLANDS LÄN</t>
        </is>
      </c>
      <c r="G14" t="inlineStr">
        <is>
          <t>VINGÅKER</t>
        </is>
      </c>
      <c r="H14" t="inlineStr">
        <is>
          <t>Kommuner</t>
        </is>
      </c>
      <c r="I14" t="n">
        <v>0.6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10438-2022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44623</v>
      </c>
      <c r="E15" s="1" t="n">
        <v>46317</v>
      </c>
      <c r="F15" t="inlineStr">
        <is>
          <t>SÖDERMANLANDS LÄN</t>
        </is>
      </c>
      <c r="G15" t="inlineStr">
        <is>
          <t>VINGÅKER</t>
        </is>
      </c>
      <c r="I15" t="n">
        <v>5.3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7821-2022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44608</v>
      </c>
      <c r="E16" s="1" t="n">
        <v>46317</v>
      </c>
      <c r="F16" t="inlineStr">
        <is>
          <t>SÖDERMANLANDS LÄN</t>
        </is>
      </c>
      <c r="G16" t="inlineStr">
        <is>
          <t>VINGÅKER</t>
        </is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7739-2022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44608</v>
      </c>
      <c r="E17" s="1" t="n">
        <v>46317</v>
      </c>
      <c r="F17" t="inlineStr">
        <is>
          <t>SÖDERMANLANDS LÄN</t>
        </is>
      </c>
      <c r="G17" t="inlineStr">
        <is>
          <t>VINGÅKER</t>
        </is>
      </c>
      <c r="I17" t="n">
        <v>2.4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67835-2021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44525</v>
      </c>
      <c r="E18" s="1" t="n">
        <v>46317</v>
      </c>
      <c r="F18" t="inlineStr">
        <is>
          <t>SÖDERMANLANDS LÄN</t>
        </is>
      </c>
      <c r="G18" t="inlineStr">
        <is>
          <t>VINGÅKER</t>
        </is>
      </c>
      <c r="I18" t="n">
        <v>3.1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19370-2022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44692</v>
      </c>
      <c r="E19" s="1" t="n">
        <v>46317</v>
      </c>
      <c r="F19" t="inlineStr">
        <is>
          <t>SÖDERMANLANDS LÄN</t>
        </is>
      </c>
      <c r="G19" t="inlineStr">
        <is>
          <t>VINGÅKER</t>
        </is>
      </c>
      <c r="I19" t="n">
        <v>1.6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9648-2022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44617</v>
      </c>
      <c r="E20" s="1" t="n">
        <v>46317</v>
      </c>
      <c r="F20" t="inlineStr">
        <is>
          <t>SÖDERMANLANDS LÄN</t>
        </is>
      </c>
      <c r="G20" t="inlineStr">
        <is>
          <t>VINGÅKER</t>
        </is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7742-2022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44608</v>
      </c>
      <c r="E21" s="1" t="n">
        <v>46317</v>
      </c>
      <c r="F21" t="inlineStr">
        <is>
          <t>SÖDERMANLANDS LÄN</t>
        </is>
      </c>
      <c r="G21" t="inlineStr">
        <is>
          <t>VINGÅKER</t>
        </is>
      </c>
      <c r="I21" t="n">
        <v>2.5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64406-2021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44511</v>
      </c>
      <c r="E22" s="1" t="n">
        <v>46317</v>
      </c>
      <c r="F22" t="inlineStr">
        <is>
          <t>SÖDERMANLANDS LÄN</t>
        </is>
      </c>
      <c r="G22" t="inlineStr">
        <is>
          <t>VINGÅKER</t>
        </is>
      </c>
      <c r="I22" t="n">
        <v>3.5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42161-2022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44830</v>
      </c>
      <c r="E23" s="1" t="n">
        <v>46317</v>
      </c>
      <c r="F23" t="inlineStr">
        <is>
          <t>SÖDERMANLANDS LÄN</t>
        </is>
      </c>
      <c r="G23" t="inlineStr">
        <is>
          <t>VINGÅKER</t>
        </is>
      </c>
      <c r="I23" t="n">
        <v>6.8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51891-2022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44867</v>
      </c>
      <c r="E24" s="1" t="n">
        <v>46317</v>
      </c>
      <c r="F24" t="inlineStr">
        <is>
          <t>SÖDERMANLANDS LÄN</t>
        </is>
      </c>
      <c r="G24" t="inlineStr">
        <is>
          <t>VINGÅKER</t>
        </is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55645-2022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44888</v>
      </c>
      <c r="E25" s="1" t="n">
        <v>46317</v>
      </c>
      <c r="F25" t="inlineStr">
        <is>
          <t>SÖDERMANLANDS LÄN</t>
        </is>
      </c>
      <c r="G25" t="inlineStr">
        <is>
          <t>VINGÅKER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11326-2022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44629</v>
      </c>
      <c r="E26" s="1" t="n">
        <v>46317</v>
      </c>
      <c r="F26" t="inlineStr">
        <is>
          <t>SÖDERMANLANDS LÄN</t>
        </is>
      </c>
      <c r="G26" t="inlineStr">
        <is>
          <t>VINGÅKER</t>
        </is>
      </c>
      <c r="I26" t="n">
        <v>10.4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29366-2022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44752</v>
      </c>
      <c r="E27" s="1" t="n">
        <v>46317</v>
      </c>
      <c r="F27" t="inlineStr">
        <is>
          <t>SÖDERMANLANDS LÄN</t>
        </is>
      </c>
      <c r="G27" t="inlineStr">
        <is>
          <t>VINGÅKER</t>
        </is>
      </c>
      <c r="I27" t="n">
        <v>2.2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26244-2022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44735</v>
      </c>
      <c r="E28" s="1" t="n">
        <v>46317</v>
      </c>
      <c r="F28" t="inlineStr">
        <is>
          <t>SÖDERMANLANDS LÄN</t>
        </is>
      </c>
      <c r="G28" t="inlineStr">
        <is>
          <t>VINGÅKER</t>
        </is>
      </c>
      <c r="I28" t="n">
        <v>0.9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17628-2022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44680</v>
      </c>
      <c r="E29" s="1" t="n">
        <v>46317</v>
      </c>
      <c r="F29" t="inlineStr">
        <is>
          <t>SÖDERMANLANDS LÄN</t>
        </is>
      </c>
      <c r="G29" t="inlineStr">
        <is>
          <t>VINGÅKER</t>
        </is>
      </c>
      <c r="I29" t="n">
        <v>1.4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14522-2022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44655</v>
      </c>
      <c r="E30" s="1" t="n">
        <v>46317</v>
      </c>
      <c r="F30" t="inlineStr">
        <is>
          <t>SÖDERMANLANDS LÄN</t>
        </is>
      </c>
      <c r="G30" t="inlineStr">
        <is>
          <t>VINGÅKER</t>
        </is>
      </c>
      <c r="H30" t="inlineStr">
        <is>
          <t>Kommuner</t>
        </is>
      </c>
      <c r="I30" t="n">
        <v>3.5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12856-2022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44642</v>
      </c>
      <c r="E31" s="1" t="n">
        <v>46317</v>
      </c>
      <c r="F31" t="inlineStr">
        <is>
          <t>SÖDERMANLANDS LÄN</t>
        </is>
      </c>
      <c r="G31" t="inlineStr">
        <is>
          <t>VINGÅKER</t>
        </is>
      </c>
      <c r="I31" t="n">
        <v>4.8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24106-2022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44725</v>
      </c>
      <c r="E32" s="1" t="n">
        <v>46317</v>
      </c>
      <c r="F32" t="inlineStr">
        <is>
          <t>SÖDERMANLANDS LÄN</t>
        </is>
      </c>
      <c r="G32" t="inlineStr">
        <is>
          <t>VINGÅKER</t>
        </is>
      </c>
      <c r="I32" t="n">
        <v>2.2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131-2023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44918</v>
      </c>
      <c r="E33" s="1" t="n">
        <v>46317</v>
      </c>
      <c r="F33" t="inlineStr">
        <is>
          <t>SÖDERMANLANDS LÄN</t>
        </is>
      </c>
      <c r="G33" t="inlineStr">
        <is>
          <t>VINGÅKER</t>
        </is>
      </c>
      <c r="I33" t="n">
        <v>3.8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3748-2024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45321</v>
      </c>
      <c r="E34" s="1" t="n">
        <v>46317</v>
      </c>
      <c r="F34" t="inlineStr">
        <is>
          <t>SÖDERMANLANDS LÄN</t>
        </is>
      </c>
      <c r="G34" t="inlineStr">
        <is>
          <t>VINGÅKER</t>
        </is>
      </c>
      <c r="I34" t="n">
        <v>3.1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14073-2025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45740</v>
      </c>
      <c r="E35" s="1" t="n">
        <v>46317</v>
      </c>
      <c r="F35" t="inlineStr">
        <is>
          <t>SÖDERMANLANDS LÄN</t>
        </is>
      </c>
      <c r="G35" t="inlineStr">
        <is>
          <t>VINGÅKER</t>
        </is>
      </c>
      <c r="H35" t="inlineStr">
        <is>
          <t>Sveaskog</t>
        </is>
      </c>
      <c r="I35" t="n">
        <v>2.2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60578-2021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44496</v>
      </c>
      <c r="E36" s="1" t="n">
        <v>46317</v>
      </c>
      <c r="F36" t="inlineStr">
        <is>
          <t>SÖDERMANLANDS LÄN</t>
        </is>
      </c>
      <c r="G36" t="inlineStr">
        <is>
          <t>VINGÅKER</t>
        </is>
      </c>
      <c r="I36" t="n">
        <v>1.9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28003-2022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44744</v>
      </c>
      <c r="E37" s="1" t="n">
        <v>46317</v>
      </c>
      <c r="F37" t="inlineStr">
        <is>
          <t>SÖDERMANLANDS LÄN</t>
        </is>
      </c>
      <c r="G37" t="inlineStr">
        <is>
          <t>VINGÅKER</t>
        </is>
      </c>
      <c r="I37" t="n">
        <v>5.5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54390-2023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45226</v>
      </c>
      <c r="E38" s="1" t="n">
        <v>46317</v>
      </c>
      <c r="F38" t="inlineStr">
        <is>
          <t>SÖDERMANLANDS LÄN</t>
        </is>
      </c>
      <c r="G38" t="inlineStr">
        <is>
          <t>VINGÅKER</t>
        </is>
      </c>
      <c r="I38" t="n">
        <v>1.3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10154-2023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44979</v>
      </c>
      <c r="E39" s="1" t="n">
        <v>46317</v>
      </c>
      <c r="F39" t="inlineStr">
        <is>
          <t>SÖDERMANLANDS LÄN</t>
        </is>
      </c>
      <c r="G39" t="inlineStr">
        <is>
          <t>VINGÅKER</t>
        </is>
      </c>
      <c r="I39" t="n">
        <v>8.5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45426-2024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45576</v>
      </c>
      <c r="E40" s="1" t="n">
        <v>46317</v>
      </c>
      <c r="F40" t="inlineStr">
        <is>
          <t>SÖDERMANLANDS LÄN</t>
        </is>
      </c>
      <c r="G40" t="inlineStr">
        <is>
          <t>VINGÅKER</t>
        </is>
      </c>
      <c r="I40" t="n">
        <v>1.8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48627-2022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44859</v>
      </c>
      <c r="E41" s="1" t="n">
        <v>46317</v>
      </c>
      <c r="F41" t="inlineStr">
        <is>
          <t>SÖDERMANLANDS LÄN</t>
        </is>
      </c>
      <c r="G41" t="inlineStr">
        <is>
          <t>VINGÅKER</t>
        </is>
      </c>
      <c r="I41" t="n">
        <v>0.7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48638-2022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44859</v>
      </c>
      <c r="E42" s="1" t="n">
        <v>46317</v>
      </c>
      <c r="F42" t="inlineStr">
        <is>
          <t>SÖDERMANLANDS LÄN</t>
        </is>
      </c>
      <c r="G42" t="inlineStr">
        <is>
          <t>VINGÅKER</t>
        </is>
      </c>
      <c r="I42" t="n">
        <v>1.4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16986-2025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45755</v>
      </c>
      <c r="E43" s="1" t="n">
        <v>46317</v>
      </c>
      <c r="F43" t="inlineStr">
        <is>
          <t>SÖDERMANLANDS LÄN</t>
        </is>
      </c>
      <c r="G43" t="inlineStr">
        <is>
          <t>VINGÅKER</t>
        </is>
      </c>
      <c r="I43" t="n">
        <v>2.2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5348-2022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44594</v>
      </c>
      <c r="E44" s="1" t="n">
        <v>46317</v>
      </c>
      <c r="F44" t="inlineStr">
        <is>
          <t>SÖDERMANLANDS LÄN</t>
        </is>
      </c>
      <c r="G44" t="inlineStr">
        <is>
          <t>VINGÅKER</t>
        </is>
      </c>
      <c r="I44" t="n">
        <v>3.5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50100-2024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45598</v>
      </c>
      <c r="E45" s="1" t="n">
        <v>46317</v>
      </c>
      <c r="F45" t="inlineStr">
        <is>
          <t>SÖDERMANLANDS LÄN</t>
        </is>
      </c>
      <c r="G45" t="inlineStr">
        <is>
          <t>VINGÅKER</t>
        </is>
      </c>
      <c r="I45" t="n">
        <v>1.8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19645-2024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45432</v>
      </c>
      <c r="E46" s="1" t="n">
        <v>46317</v>
      </c>
      <c r="F46" t="inlineStr">
        <is>
          <t>SÖDERMANLANDS LÄN</t>
        </is>
      </c>
      <c r="G46" t="inlineStr">
        <is>
          <t>VINGÅKER</t>
        </is>
      </c>
      <c r="I46" t="n">
        <v>1.2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48875-2024</t>
        </is>
      </c>
      <c r="B47" t="inlineStr">
        <is>
          <t>avverkningsanmälan</t>
        </is>
      </c>
      <c r="C47" t="inlineStr">
        <is>
          <t>Avverkning för annat ändamål</t>
        </is>
      </c>
      <c r="D47" s="1" t="n">
        <v>45594</v>
      </c>
      <c r="E47" s="1" t="n">
        <v>46317</v>
      </c>
      <c r="F47" t="inlineStr">
        <is>
          <t>SÖDERMANLANDS LÄN</t>
        </is>
      </c>
      <c r="G47" t="inlineStr">
        <is>
          <t>VINGÅKER</t>
        </is>
      </c>
      <c r="H47" t="inlineStr">
        <is>
          <t>Övriga Aktiebolag</t>
        </is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1627-2024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45306</v>
      </c>
      <c r="E48" s="1" t="n">
        <v>46317</v>
      </c>
      <c r="F48" t="inlineStr">
        <is>
          <t>SÖDERMANLANDS LÄN</t>
        </is>
      </c>
      <c r="G48" t="inlineStr">
        <is>
          <t>VINGÅKER</t>
        </is>
      </c>
      <c r="I48" t="n">
        <v>2.7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45422-2024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45576</v>
      </c>
      <c r="E49" s="1" t="n">
        <v>46317</v>
      </c>
      <c r="F49" t="inlineStr">
        <is>
          <t>SÖDERMANLANDS LÄN</t>
        </is>
      </c>
      <c r="G49" t="inlineStr">
        <is>
          <t>VINGÅKER</t>
        </is>
      </c>
      <c r="I49" t="n">
        <v>17.1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35131-2024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45529</v>
      </c>
      <c r="E50" s="1" t="n">
        <v>46317</v>
      </c>
      <c r="F50" t="inlineStr">
        <is>
          <t>SÖDERMANLANDS LÄN</t>
        </is>
      </c>
      <c r="G50" t="inlineStr">
        <is>
          <t>VINGÅKER</t>
        </is>
      </c>
      <c r="I50" t="n">
        <v>6.3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58842-2022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44903</v>
      </c>
      <c r="E51" s="1" t="n">
        <v>46317</v>
      </c>
      <c r="F51" t="inlineStr">
        <is>
          <t>SÖDERMANLANDS LÄN</t>
        </is>
      </c>
      <c r="G51" t="inlineStr">
        <is>
          <t>VINGÅKER</t>
        </is>
      </c>
      <c r="I51" t="n">
        <v>2.6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32279-2023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45109</v>
      </c>
      <c r="E52" s="1" t="n">
        <v>46317</v>
      </c>
      <c r="F52" t="inlineStr">
        <is>
          <t>SÖDERMANLANDS LÄN</t>
        </is>
      </c>
      <c r="G52" t="inlineStr">
        <is>
          <t>VINGÅKER</t>
        </is>
      </c>
      <c r="I52" t="n">
        <v>11.8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60572-2021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44496</v>
      </c>
      <c r="E53" s="1" t="n">
        <v>46317</v>
      </c>
      <c r="F53" t="inlineStr">
        <is>
          <t>SÖDERMANLANDS LÄN</t>
        </is>
      </c>
      <c r="G53" t="inlineStr">
        <is>
          <t>VINGÅKER</t>
        </is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609-2026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46023</v>
      </c>
      <c r="E54" s="1" t="n">
        <v>46317</v>
      </c>
      <c r="F54" t="inlineStr">
        <is>
          <t>SÖDERMANLANDS LÄN</t>
        </is>
      </c>
      <c r="G54" t="inlineStr">
        <is>
          <t>VINGÅKER</t>
        </is>
      </c>
      <c r="I54" t="n">
        <v>4.4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42416-2025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45905</v>
      </c>
      <c r="E55" s="1" t="n">
        <v>46317</v>
      </c>
      <c r="F55" t="inlineStr">
        <is>
          <t>SÖDERMANLANDS LÄN</t>
        </is>
      </c>
      <c r="G55" t="inlineStr">
        <is>
          <t>VINGÅKER</t>
        </is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42455-2025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45905</v>
      </c>
      <c r="E56" s="1" t="n">
        <v>46317</v>
      </c>
      <c r="F56" t="inlineStr">
        <is>
          <t>SÖDERMANLANDS LÄN</t>
        </is>
      </c>
      <c r="G56" t="inlineStr">
        <is>
          <t>VINGÅKER</t>
        </is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64397-2021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44511</v>
      </c>
      <c r="E57" s="1" t="n">
        <v>46317</v>
      </c>
      <c r="F57" t="inlineStr">
        <is>
          <t>SÖDERMANLANDS LÄN</t>
        </is>
      </c>
      <c r="G57" t="inlineStr">
        <is>
          <t>VINGÅKER</t>
        </is>
      </c>
      <c r="I57" t="n">
        <v>0.8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27960-2025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45817</v>
      </c>
      <c r="E58" s="1" t="n">
        <v>46317</v>
      </c>
      <c r="F58" t="inlineStr">
        <is>
          <t>SÖDERMANLANDS LÄN</t>
        </is>
      </c>
      <c r="G58" t="inlineStr">
        <is>
          <t>VINGÅKER</t>
        </is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22866-2024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45448</v>
      </c>
      <c r="E59" s="1" t="n">
        <v>46317</v>
      </c>
      <c r="F59" t="inlineStr">
        <is>
          <t>SÖDERMANLANDS LÄN</t>
        </is>
      </c>
      <c r="G59" t="inlineStr">
        <is>
          <t>VINGÅKER</t>
        </is>
      </c>
      <c r="I59" t="n">
        <v>2.7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9543-2022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44617</v>
      </c>
      <c r="E60" s="1" t="n">
        <v>46317</v>
      </c>
      <c r="F60" t="inlineStr">
        <is>
          <t>SÖDERMANLANDS LÄN</t>
        </is>
      </c>
      <c r="G60" t="inlineStr">
        <is>
          <t>VINGÅKER</t>
        </is>
      </c>
      <c r="H60" t="inlineStr">
        <is>
          <t>Kyrkan</t>
        </is>
      </c>
      <c r="I60" t="n">
        <v>4.7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61840-2022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44917</v>
      </c>
      <c r="E61" s="1" t="n">
        <v>46317</v>
      </c>
      <c r="F61" t="inlineStr">
        <is>
          <t>SÖDERMANLANDS LÄN</t>
        </is>
      </c>
      <c r="G61" t="inlineStr">
        <is>
          <t>VINGÅKER</t>
        </is>
      </c>
      <c r="I61" t="n">
        <v>0.4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61842-2022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44917</v>
      </c>
      <c r="E62" s="1" t="n">
        <v>46317</v>
      </c>
      <c r="F62" t="inlineStr">
        <is>
          <t>SÖDERMANLANDS LÄN</t>
        </is>
      </c>
      <c r="G62" t="inlineStr">
        <is>
          <t>VINGÅKER</t>
        </is>
      </c>
      <c r="I62" t="n">
        <v>0.6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60298-2022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44910</v>
      </c>
      <c r="E63" s="1" t="n">
        <v>46317</v>
      </c>
      <c r="F63" t="inlineStr">
        <is>
          <t>SÖDERMANLANDS LÄN</t>
        </is>
      </c>
      <c r="G63" t="inlineStr">
        <is>
          <t>VINGÅKER</t>
        </is>
      </c>
      <c r="I63" t="n">
        <v>0.7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18182-2023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45041</v>
      </c>
      <c r="E64" s="1" t="n">
        <v>46317</v>
      </c>
      <c r="F64" t="inlineStr">
        <is>
          <t>SÖDERMANLANDS LÄN</t>
        </is>
      </c>
      <c r="G64" t="inlineStr">
        <is>
          <t>VINGÅKER</t>
        </is>
      </c>
      <c r="I64" t="n">
        <v>1.3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25493-2025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45803</v>
      </c>
      <c r="E65" s="1" t="n">
        <v>46317</v>
      </c>
      <c r="F65" t="inlineStr">
        <is>
          <t>SÖDERMANLANDS LÄN</t>
        </is>
      </c>
      <c r="G65" t="inlineStr">
        <is>
          <t>VINGÅKER</t>
        </is>
      </c>
      <c r="I65" t="n">
        <v>2.1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12714-2025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45733</v>
      </c>
      <c r="E66" s="1" t="n">
        <v>46317</v>
      </c>
      <c r="F66" t="inlineStr">
        <is>
          <t>SÖDERMANLANDS LÄN</t>
        </is>
      </c>
      <c r="G66" t="inlineStr">
        <is>
          <t>VINGÅKER</t>
        </is>
      </c>
      <c r="I66" t="n">
        <v>1.8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18241-2022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44685</v>
      </c>
      <c r="E67" s="1" t="n">
        <v>46317</v>
      </c>
      <c r="F67" t="inlineStr">
        <is>
          <t>SÖDERMANLANDS LÄN</t>
        </is>
      </c>
      <c r="G67" t="inlineStr">
        <is>
          <t>VINGÅKER</t>
        </is>
      </c>
      <c r="I67" t="n">
        <v>2.1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16495-2022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44671</v>
      </c>
      <c r="E68" s="1" t="n">
        <v>46317</v>
      </c>
      <c r="F68" t="inlineStr">
        <is>
          <t>SÖDERMANLANDS LÄN</t>
        </is>
      </c>
      <c r="G68" t="inlineStr">
        <is>
          <t>VINGÅKER</t>
        </is>
      </c>
      <c r="I68" t="n">
        <v>2.8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20427-2023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45056</v>
      </c>
      <c r="E69" s="1" t="n">
        <v>46317</v>
      </c>
      <c r="F69" t="inlineStr">
        <is>
          <t>SÖDERMANLANDS LÄN</t>
        </is>
      </c>
      <c r="G69" t="inlineStr">
        <is>
          <t>VINGÅKER</t>
        </is>
      </c>
      <c r="I69" t="n">
        <v>2.3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1460-2023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44937</v>
      </c>
      <c r="E70" s="1" t="n">
        <v>46317</v>
      </c>
      <c r="F70" t="inlineStr">
        <is>
          <t>SÖDERMANLANDS LÄN</t>
        </is>
      </c>
      <c r="G70" t="inlineStr">
        <is>
          <t>VINGÅKER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49153-2024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45594</v>
      </c>
      <c r="E71" s="1" t="n">
        <v>46317</v>
      </c>
      <c r="F71" t="inlineStr">
        <is>
          <t>SÖDERMANLANDS LÄN</t>
        </is>
      </c>
      <c r="G71" t="inlineStr">
        <is>
          <t>VINGÅKER</t>
        </is>
      </c>
      <c r="I71" t="n">
        <v>2.2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1721-2023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44938</v>
      </c>
      <c r="E72" s="1" t="n">
        <v>46317</v>
      </c>
      <c r="F72" t="inlineStr">
        <is>
          <t>SÖDERMANLANDS LÄN</t>
        </is>
      </c>
      <c r="G72" t="inlineStr">
        <is>
          <t>VINGÅKER</t>
        </is>
      </c>
      <c r="I72" t="n">
        <v>1.7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53316-2025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45959</v>
      </c>
      <c r="E73" s="1" t="n">
        <v>46317</v>
      </c>
      <c r="F73" t="inlineStr">
        <is>
          <t>SÖDERMANLANDS LÄN</t>
        </is>
      </c>
      <c r="G73" t="inlineStr">
        <is>
          <t>VINGÅKER</t>
        </is>
      </c>
      <c r="I73" t="n">
        <v>4.7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37740-2025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45880</v>
      </c>
      <c r="E74" s="1" t="n">
        <v>46317</v>
      </c>
      <c r="F74" t="inlineStr">
        <is>
          <t>SÖDERMANLANDS LÄN</t>
        </is>
      </c>
      <c r="G74" t="inlineStr">
        <is>
          <t>VINGÅKER</t>
        </is>
      </c>
      <c r="I74" t="n">
        <v>2.6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39779-2024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45552</v>
      </c>
      <c r="E75" s="1" t="n">
        <v>46317</v>
      </c>
      <c r="F75" t="inlineStr">
        <is>
          <t>SÖDERMANLANDS LÄN</t>
        </is>
      </c>
      <c r="G75" t="inlineStr">
        <is>
          <t>VINGÅKER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2601-2026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46037</v>
      </c>
      <c r="E76" s="1" t="n">
        <v>46317</v>
      </c>
      <c r="F76" t="inlineStr">
        <is>
          <t>SÖDERMANLANDS LÄN</t>
        </is>
      </c>
      <c r="G76" t="inlineStr">
        <is>
          <t>VINGÅKER</t>
        </is>
      </c>
      <c r="I76" t="n">
        <v>1.2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57393-2025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45980</v>
      </c>
      <c r="E77" s="1" t="n">
        <v>46317</v>
      </c>
      <c r="F77" t="inlineStr">
        <is>
          <t>SÖDERMANLANDS LÄN</t>
        </is>
      </c>
      <c r="G77" t="inlineStr">
        <is>
          <t>VINGÅKER</t>
        </is>
      </c>
      <c r="I77" t="n">
        <v>0.8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57862-2025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45981</v>
      </c>
      <c r="E78" s="1" t="n">
        <v>46317</v>
      </c>
      <c r="F78" t="inlineStr">
        <is>
          <t>SÖDERMANLANDS LÄN</t>
        </is>
      </c>
      <c r="G78" t="inlineStr">
        <is>
          <t>VINGÅKER</t>
        </is>
      </c>
      <c r="H78" t="inlineStr">
        <is>
          <t>Sveaskog</t>
        </is>
      </c>
      <c r="I78" t="n">
        <v>15.9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58174-2025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45982</v>
      </c>
      <c r="E79" s="1" t="n">
        <v>46317</v>
      </c>
      <c r="F79" t="inlineStr">
        <is>
          <t>SÖDERMANLANDS LÄN</t>
        </is>
      </c>
      <c r="G79" t="inlineStr">
        <is>
          <t>VINGÅKER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60578-2021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44496</v>
      </c>
      <c r="E80" s="1" t="n">
        <v>46317</v>
      </c>
      <c r="F80" t="inlineStr">
        <is>
          <t>SÖDERMANLANDS LÄN</t>
        </is>
      </c>
      <c r="G80" t="inlineStr">
        <is>
          <t>VINGÅKER</t>
        </is>
      </c>
      <c r="I80" t="n">
        <v>1.9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12716-2023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44999</v>
      </c>
      <c r="E81" s="1" t="n">
        <v>46317</v>
      </c>
      <c r="F81" t="inlineStr">
        <is>
          <t>SÖDERMANLANDS LÄN</t>
        </is>
      </c>
      <c r="G81" t="inlineStr">
        <is>
          <t>VINGÅKER</t>
        </is>
      </c>
      <c r="H81" t="inlineStr">
        <is>
          <t>Kommuner</t>
        </is>
      </c>
      <c r="I81" t="n">
        <v>1.4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60467-2025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45995</v>
      </c>
      <c r="E82" s="1" t="n">
        <v>46317</v>
      </c>
      <c r="F82" t="inlineStr">
        <is>
          <t>SÖDERMANLANDS LÄN</t>
        </is>
      </c>
      <c r="G82" t="inlineStr">
        <is>
          <t>VINGÅKER</t>
        </is>
      </c>
      <c r="I82" t="n">
        <v>4.4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61576-2025</t>
        </is>
      </c>
      <c r="B83" t="inlineStr">
        <is>
          <t>avverkningsanmälan</t>
        </is>
      </c>
      <c r="C83" t="inlineStr">
        <is>
          <t>Avverkning för annat ändamål</t>
        </is>
      </c>
      <c r="D83" s="1" t="n">
        <v>46002</v>
      </c>
      <c r="E83" s="1" t="n">
        <v>46317</v>
      </c>
      <c r="F83" t="inlineStr">
        <is>
          <t>SÖDERMANLANDS LÄN</t>
        </is>
      </c>
      <c r="G83" t="inlineStr">
        <is>
          <t>VINGÅKER</t>
        </is>
      </c>
      <c r="I83" t="n">
        <v>0.7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27238-2023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45096</v>
      </c>
      <c r="E84" s="1" t="n">
        <v>46317</v>
      </c>
      <c r="F84" t="inlineStr">
        <is>
          <t>SÖDERMANLANDS LÄN</t>
        </is>
      </c>
      <c r="G84" t="inlineStr">
        <is>
          <t>VINGÅKER</t>
        </is>
      </c>
      <c r="H84" t="inlineStr">
        <is>
          <t>Sveaskog</t>
        </is>
      </c>
      <c r="I84" t="n">
        <v>2.5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29490-2024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45483</v>
      </c>
      <c r="E85" s="1" t="n">
        <v>46317</v>
      </c>
      <c r="F85" t="inlineStr">
        <is>
          <t>SÖDERMANLANDS LÄN</t>
        </is>
      </c>
      <c r="G85" t="inlineStr">
        <is>
          <t>VINGÅKER</t>
        </is>
      </c>
      <c r="I85" t="n">
        <v>3.7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20192-2023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45051</v>
      </c>
      <c r="E86" s="1" t="n">
        <v>46317</v>
      </c>
      <c r="F86" t="inlineStr">
        <is>
          <t>SÖDERMANLANDS LÄN</t>
        </is>
      </c>
      <c r="G86" t="inlineStr">
        <is>
          <t>VINGÅKER</t>
        </is>
      </c>
      <c r="I86" t="n">
        <v>0.6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10546-2026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46077</v>
      </c>
      <c r="E87" s="1" t="n">
        <v>46317</v>
      </c>
      <c r="F87" t="inlineStr">
        <is>
          <t>SÖDERMANLANDS LÄN</t>
        </is>
      </c>
      <c r="G87" t="inlineStr">
        <is>
          <t>VINGÅKER</t>
        </is>
      </c>
      <c r="I87" t="n">
        <v>5.3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10549-2026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46077</v>
      </c>
      <c r="E88" s="1" t="n">
        <v>46317</v>
      </c>
      <c r="F88" t="inlineStr">
        <is>
          <t>SÖDERMANLANDS LÄN</t>
        </is>
      </c>
      <c r="G88" t="inlineStr">
        <is>
          <t>VINGÅKER</t>
        </is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45162-2023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45191</v>
      </c>
      <c r="E89" s="1" t="n">
        <v>46317</v>
      </c>
      <c r="F89" t="inlineStr">
        <is>
          <t>SÖDERMANLANDS LÄN</t>
        </is>
      </c>
      <c r="G89" t="inlineStr">
        <is>
          <t>VINGÅKER</t>
        </is>
      </c>
      <c r="I89" t="n">
        <v>1.5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466-2024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45297</v>
      </c>
      <c r="E90" s="1" t="n">
        <v>46317</v>
      </c>
      <c r="F90" t="inlineStr">
        <is>
          <t>SÖDERMANLANDS LÄN</t>
        </is>
      </c>
      <c r="G90" t="inlineStr">
        <is>
          <t>VINGÅKER</t>
        </is>
      </c>
      <c r="I90" t="n">
        <v>2.9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20301-2025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45774</v>
      </c>
      <c r="E91" s="1" t="n">
        <v>46317</v>
      </c>
      <c r="F91" t="inlineStr">
        <is>
          <t>SÖDERMANLANDS LÄN</t>
        </is>
      </c>
      <c r="G91" t="inlineStr">
        <is>
          <t>VINGÅKER</t>
        </is>
      </c>
      <c r="I91" t="n">
        <v>7.5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21160-2024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45440</v>
      </c>
      <c r="E92" s="1" t="n">
        <v>46317</v>
      </c>
      <c r="F92" t="inlineStr">
        <is>
          <t>SÖDERMANLANDS LÄN</t>
        </is>
      </c>
      <c r="G92" t="inlineStr">
        <is>
          <t>VINGÅKER</t>
        </is>
      </c>
      <c r="I92" t="n">
        <v>1.4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2888-2023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44945</v>
      </c>
      <c r="E93" s="1" t="n">
        <v>46317</v>
      </c>
      <c r="F93" t="inlineStr">
        <is>
          <t>SÖDERMANLANDS LÄN</t>
        </is>
      </c>
      <c r="G93" t="inlineStr">
        <is>
          <t>VINGÅKER</t>
        </is>
      </c>
      <c r="I93" t="n">
        <v>2.3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55640-2022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44888</v>
      </c>
      <c r="E94" s="1" t="n">
        <v>46317</v>
      </c>
      <c r="F94" t="inlineStr">
        <is>
          <t>SÖDERMANLANDS LÄN</t>
        </is>
      </c>
      <c r="G94" t="inlineStr">
        <is>
          <t>VINGÅKER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8997-2026</t>
        </is>
      </c>
      <c r="B95" t="inlineStr">
        <is>
          <t>avverkningsanmälan</t>
        </is>
      </c>
      <c r="C95" t="inlineStr">
        <is>
          <t>Avverkning för att bevara och utveckla /försöksver</t>
        </is>
      </c>
      <c r="D95" s="1" t="n">
        <v>46069</v>
      </c>
      <c r="E95" s="1" t="n">
        <v>46317</v>
      </c>
      <c r="F95" t="inlineStr">
        <is>
          <t>SÖDERMANLANDS LÄN</t>
        </is>
      </c>
      <c r="G95" t="inlineStr">
        <is>
          <t>VINGÅKER</t>
        </is>
      </c>
      <c r="I95" t="n">
        <v>5.4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55092-2023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45237</v>
      </c>
      <c r="E96" s="1" t="n">
        <v>46317</v>
      </c>
      <c r="F96" t="inlineStr">
        <is>
          <t>SÖDERMANLANDS LÄN</t>
        </is>
      </c>
      <c r="G96" t="inlineStr">
        <is>
          <t>VINGÅKER</t>
        </is>
      </c>
      <c r="I96" t="n">
        <v>4.6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54780-2023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45236</v>
      </c>
      <c r="E97" s="1" t="n">
        <v>46317</v>
      </c>
      <c r="F97" t="inlineStr">
        <is>
          <t>SÖDERMANLANDS LÄN</t>
        </is>
      </c>
      <c r="G97" t="inlineStr">
        <is>
          <t>VINGÅKER</t>
        </is>
      </c>
      <c r="I97" t="n">
        <v>3.2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19861-2023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45053</v>
      </c>
      <c r="E98" s="1" t="n">
        <v>46317</v>
      </c>
      <c r="F98" t="inlineStr">
        <is>
          <t>SÖDERMANLANDS LÄN</t>
        </is>
      </c>
      <c r="G98" t="inlineStr">
        <is>
          <t>VINGÅKER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24382-2023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45076</v>
      </c>
      <c r="E99" s="1" t="n">
        <v>46317</v>
      </c>
      <c r="F99" t="inlineStr">
        <is>
          <t>SÖDERMANLANDS LÄN</t>
        </is>
      </c>
      <c r="G99" t="inlineStr">
        <is>
          <t>VINGÅKER</t>
        </is>
      </c>
      <c r="I99" t="n">
        <v>3.4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24414-2023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45076</v>
      </c>
      <c r="E100" s="1" t="n">
        <v>46317</v>
      </c>
      <c r="F100" t="inlineStr">
        <is>
          <t>SÖDERMANLANDS LÄN</t>
        </is>
      </c>
      <c r="G100" t="inlineStr">
        <is>
          <t>VINGÅKER</t>
        </is>
      </c>
      <c r="I100" t="n">
        <v>1.9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54051-2024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45615</v>
      </c>
      <c r="E101" s="1" t="n">
        <v>46317</v>
      </c>
      <c r="F101" t="inlineStr">
        <is>
          <t>SÖDERMANLANDS LÄN</t>
        </is>
      </c>
      <c r="G101" t="inlineStr">
        <is>
          <t>VINGÅKER</t>
        </is>
      </c>
      <c r="I101" t="n">
        <v>8.9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132-2023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44918</v>
      </c>
      <c r="E102" s="1" t="n">
        <v>46317</v>
      </c>
      <c r="F102" t="inlineStr">
        <is>
          <t>SÖDERMANLANDS LÄN</t>
        </is>
      </c>
      <c r="G102" t="inlineStr">
        <is>
          <t>VINGÅKER</t>
        </is>
      </c>
      <c r="I102" t="n">
        <v>1.1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63614-2023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45275</v>
      </c>
      <c r="E103" s="1" t="n">
        <v>46317</v>
      </c>
      <c r="F103" t="inlineStr">
        <is>
          <t>SÖDERMANLANDS LÄN</t>
        </is>
      </c>
      <c r="G103" t="inlineStr">
        <is>
          <t>VINGÅKER</t>
        </is>
      </c>
      <c r="I103" t="n">
        <v>1.8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17731-2026</t>
        </is>
      </c>
      <c r="B104" t="inlineStr">
        <is>
          <t>avverkningsanmälan</t>
        </is>
      </c>
      <c r="C104" t="inlineStr">
        <is>
          <t>Avverkning för annat ändamål</t>
        </is>
      </c>
      <c r="D104" s="1" t="n">
        <v>46121</v>
      </c>
      <c r="E104" s="1" t="n">
        <v>46317</v>
      </c>
      <c r="F104" t="inlineStr">
        <is>
          <t>SÖDERMANLANDS LÄN</t>
        </is>
      </c>
      <c r="G104" t="inlineStr">
        <is>
          <t>VINGÅKER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32325-2023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45120</v>
      </c>
      <c r="E105" s="1" t="n">
        <v>46317</v>
      </c>
      <c r="F105" t="inlineStr">
        <is>
          <t>SÖDERMANLANDS LÄN</t>
        </is>
      </c>
      <c r="G105" t="inlineStr">
        <is>
          <t>VINGÅKER</t>
        </is>
      </c>
      <c r="H105" t="inlineStr">
        <is>
          <t>Sveaskog</t>
        </is>
      </c>
      <c r="I105" t="n">
        <v>2.3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16071-2023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45021</v>
      </c>
      <c r="E106" s="1" t="n">
        <v>46317</v>
      </c>
      <c r="F106" t="inlineStr">
        <is>
          <t>SÖDERMANLANDS LÄN</t>
        </is>
      </c>
      <c r="G106" t="inlineStr">
        <is>
          <t>VINGÅKER</t>
        </is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10440-2022</t>
        </is>
      </c>
      <c r="B107" t="inlineStr">
        <is>
          <t>avverkningsanmälan</t>
        </is>
      </c>
      <c r="C107" t="inlineStr">
        <is>
          <t>Avverkning för annat ändamål</t>
        </is>
      </c>
      <c r="D107" s="1" t="n">
        <v>44623</v>
      </c>
      <c r="E107" s="1" t="n">
        <v>46317</v>
      </c>
      <c r="F107" t="inlineStr">
        <is>
          <t>SÖDERMANLANDS LÄN</t>
        </is>
      </c>
      <c r="G107" t="inlineStr">
        <is>
          <t>VINGÅKER</t>
        </is>
      </c>
      <c r="I107" t="n">
        <v>1.1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19792-2026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46135</v>
      </c>
      <c r="E108" s="1" t="n">
        <v>46317</v>
      </c>
      <c r="F108" t="inlineStr">
        <is>
          <t>SÖDERMANLANDS LÄN</t>
        </is>
      </c>
      <c r="G108" t="inlineStr">
        <is>
          <t>VINGÅKER</t>
        </is>
      </c>
      <c r="I108" t="n">
        <v>0.9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19920-2026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46136</v>
      </c>
      <c r="E109" s="1" t="n">
        <v>46317</v>
      </c>
      <c r="F109" t="inlineStr">
        <is>
          <t>SÖDERMANLANDS LÄN</t>
        </is>
      </c>
      <c r="G109" t="inlineStr">
        <is>
          <t>VINGÅKER</t>
        </is>
      </c>
      <c r="I109" t="n">
        <v>2.1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63584-2023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45275</v>
      </c>
      <c r="E110" s="1" t="n">
        <v>46317</v>
      </c>
      <c r="F110" t="inlineStr">
        <is>
          <t>SÖDERMANLANDS LÄN</t>
        </is>
      </c>
      <c r="G110" t="inlineStr">
        <is>
          <t>VINGÅKER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48644-2022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44859</v>
      </c>
      <c r="E111" s="1" t="n">
        <v>46317</v>
      </c>
      <c r="F111" t="inlineStr">
        <is>
          <t>SÖDERMANLANDS LÄN</t>
        </is>
      </c>
      <c r="G111" t="inlineStr">
        <is>
          <t>VINGÅKER</t>
        </is>
      </c>
      <c r="I111" t="n">
        <v>1.2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1788-2023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44937</v>
      </c>
      <c r="E112" s="1" t="n">
        <v>46317</v>
      </c>
      <c r="F112" t="inlineStr">
        <is>
          <t>SÖDERMANLANDS LÄN</t>
        </is>
      </c>
      <c r="G112" t="inlineStr">
        <is>
          <t>VINGÅKER</t>
        </is>
      </c>
      <c r="I112" t="n">
        <v>1.5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11371-2023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44990</v>
      </c>
      <c r="E113" s="1" t="n">
        <v>46317</v>
      </c>
      <c r="F113" t="inlineStr">
        <is>
          <t>SÖDERMANLANDS LÄN</t>
        </is>
      </c>
      <c r="G113" t="inlineStr">
        <is>
          <t>VINGÅKER</t>
        </is>
      </c>
      <c r="I113" t="n">
        <v>3.6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19165-2024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45428</v>
      </c>
      <c r="E114" s="1" t="n">
        <v>46317</v>
      </c>
      <c r="F114" t="inlineStr">
        <is>
          <t>SÖDERMANLANDS LÄN</t>
        </is>
      </c>
      <c r="G114" t="inlineStr">
        <is>
          <t>VINGÅKER</t>
        </is>
      </c>
      <c r="I114" t="n">
        <v>3.7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41870-2023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45174</v>
      </c>
      <c r="E115" s="1" t="n">
        <v>46317</v>
      </c>
      <c r="F115" t="inlineStr">
        <is>
          <t>SÖDERMANLANDS LÄN</t>
        </is>
      </c>
      <c r="G115" t="inlineStr">
        <is>
          <t>VINGÅKER</t>
        </is>
      </c>
      <c r="I115" t="n">
        <v>1.8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46464-2024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45582</v>
      </c>
      <c r="E116" s="1" t="n">
        <v>46317</v>
      </c>
      <c r="F116" t="inlineStr">
        <is>
          <t>SÖDERMANLANDS LÄN</t>
        </is>
      </c>
      <c r="G116" t="inlineStr">
        <is>
          <t>VINGÅKER</t>
        </is>
      </c>
      <c r="I116" t="n">
        <v>1.5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8442-2023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44977</v>
      </c>
      <c r="E117" s="1" t="n">
        <v>46317</v>
      </c>
      <c r="F117" t="inlineStr">
        <is>
          <t>SÖDERMANLANDS LÄN</t>
        </is>
      </c>
      <c r="G117" t="inlineStr">
        <is>
          <t>VINGÅKER</t>
        </is>
      </c>
      <c r="I117" t="n">
        <v>2.4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58801-2025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45986</v>
      </c>
      <c r="E118" s="1" t="n">
        <v>46317</v>
      </c>
      <c r="F118" t="inlineStr">
        <is>
          <t>SÖDERMANLANDS LÄN</t>
        </is>
      </c>
      <c r="G118" t="inlineStr">
        <is>
          <t>VINGÅKER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1128-2024</t>
        </is>
      </c>
      <c r="B119" t="inlineStr">
        <is>
          <t>avverkningsanmälan</t>
        </is>
      </c>
      <c r="C119" t="inlineStr">
        <is>
          <t>Avverkning för annat ändamål</t>
        </is>
      </c>
      <c r="D119" s="1" t="n">
        <v>45302</v>
      </c>
      <c r="E119" s="1" t="n">
        <v>46317</v>
      </c>
      <c r="F119" t="inlineStr">
        <is>
          <t>SÖDERMANLANDS LÄN</t>
        </is>
      </c>
      <c r="G119" t="inlineStr">
        <is>
          <t>VINGÅKER</t>
        </is>
      </c>
      <c r="I119" t="n">
        <v>0.6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17768-2024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45418</v>
      </c>
      <c r="E120" s="1" t="n">
        <v>46317</v>
      </c>
      <c r="F120" t="inlineStr">
        <is>
          <t>SÖDERMANLANDS LÄN</t>
        </is>
      </c>
      <c r="G120" t="inlineStr">
        <is>
          <t>VINGÅKER</t>
        </is>
      </c>
      <c r="I120" t="n">
        <v>5.4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11400-2023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44993</v>
      </c>
      <c r="E121" s="1" t="n">
        <v>46317</v>
      </c>
      <c r="F121" t="inlineStr">
        <is>
          <t>SÖDERMANLANDS LÄN</t>
        </is>
      </c>
      <c r="G121" t="inlineStr">
        <is>
          <t>VINGÅKER</t>
        </is>
      </c>
      <c r="H121" t="inlineStr">
        <is>
          <t>Kyrkan</t>
        </is>
      </c>
      <c r="I121" t="n">
        <v>18.6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20243-2026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46136</v>
      </c>
      <c r="E122" s="1" t="n">
        <v>46317</v>
      </c>
      <c r="F122" t="inlineStr">
        <is>
          <t>SÖDERMANLANDS LÄN</t>
        </is>
      </c>
      <c r="G122" t="inlineStr">
        <is>
          <t>VINGÅKER</t>
        </is>
      </c>
      <c r="I122" t="n">
        <v>2.6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1670-2022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44573</v>
      </c>
      <c r="E123" s="1" t="n">
        <v>46317</v>
      </c>
      <c r="F123" t="inlineStr">
        <is>
          <t>SÖDERMANLANDS LÄN</t>
        </is>
      </c>
      <c r="G123" t="inlineStr">
        <is>
          <t>VINGÅKER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6824-2023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44967</v>
      </c>
      <c r="E124" s="1" t="n">
        <v>46317</v>
      </c>
      <c r="F124" t="inlineStr">
        <is>
          <t>SÖDERMANLANDS LÄN</t>
        </is>
      </c>
      <c r="G124" t="inlineStr">
        <is>
          <t>VINGÅKER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16617-2025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45754</v>
      </c>
      <c r="E125" s="1" t="n">
        <v>46317</v>
      </c>
      <c r="F125" t="inlineStr">
        <is>
          <t>SÖDERMANLANDS LÄN</t>
        </is>
      </c>
      <c r="G125" t="inlineStr">
        <is>
          <t>VINGÅKER</t>
        </is>
      </c>
      <c r="H125" t="inlineStr">
        <is>
          <t>Sveaskog</t>
        </is>
      </c>
      <c r="I125" t="n">
        <v>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18797-2025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45764</v>
      </c>
      <c r="E126" s="1" t="n">
        <v>46317</v>
      </c>
      <c r="F126" t="inlineStr">
        <is>
          <t>SÖDERMANLANDS LÄN</t>
        </is>
      </c>
      <c r="G126" t="inlineStr">
        <is>
          <t>VINGÅKER</t>
        </is>
      </c>
      <c r="H126" t="inlineStr">
        <is>
          <t>Sveaskog</t>
        </is>
      </c>
      <c r="I126" t="n">
        <v>3.9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5349-2022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44594</v>
      </c>
      <c r="E127" s="1" t="n">
        <v>46317</v>
      </c>
      <c r="F127" t="inlineStr">
        <is>
          <t>SÖDERMANLANDS LÄN</t>
        </is>
      </c>
      <c r="G127" t="inlineStr">
        <is>
          <t>VINGÅKER</t>
        </is>
      </c>
      <c r="I127" t="n">
        <v>1.2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57632-2024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45630</v>
      </c>
      <c r="E128" s="1" t="n">
        <v>46317</v>
      </c>
      <c r="F128" t="inlineStr">
        <is>
          <t>SÖDERMANLANDS LÄN</t>
        </is>
      </c>
      <c r="G128" t="inlineStr">
        <is>
          <t>VINGÅKER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17656-2023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45036</v>
      </c>
      <c r="E129" s="1" t="n">
        <v>46317</v>
      </c>
      <c r="F129" t="inlineStr">
        <is>
          <t>SÖDERMANLANDS LÄN</t>
        </is>
      </c>
      <c r="G129" t="inlineStr">
        <is>
          <t>VINGÅKER</t>
        </is>
      </c>
      <c r="I129" t="n">
        <v>0.6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21551-2026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46147</v>
      </c>
      <c r="E130" s="1" t="n">
        <v>46317</v>
      </c>
      <c r="F130" t="inlineStr">
        <is>
          <t>SÖDERMANLANDS LÄN</t>
        </is>
      </c>
      <c r="G130" t="inlineStr">
        <is>
          <t>VINGÅKER</t>
        </is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4959-2022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44593</v>
      </c>
      <c r="E131" s="1" t="n">
        <v>46317</v>
      </c>
      <c r="F131" t="inlineStr">
        <is>
          <t>SÖDERMANLANDS LÄN</t>
        </is>
      </c>
      <c r="G131" t="inlineStr">
        <is>
          <t>VINGÅKER</t>
        </is>
      </c>
      <c r="I131" t="n">
        <v>3.7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42564-2023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45181</v>
      </c>
      <c r="E132" s="1" t="n">
        <v>46317</v>
      </c>
      <c r="F132" t="inlineStr">
        <is>
          <t>SÖDERMANLANDS LÄN</t>
        </is>
      </c>
      <c r="G132" t="inlineStr">
        <is>
          <t>VINGÅKER</t>
        </is>
      </c>
      <c r="I132" t="n">
        <v>5.8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14087-2022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44651</v>
      </c>
      <c r="E133" s="1" t="n">
        <v>46317</v>
      </c>
      <c r="F133" t="inlineStr">
        <is>
          <t>SÖDERMANLANDS LÄN</t>
        </is>
      </c>
      <c r="G133" t="inlineStr">
        <is>
          <t>VINGÅKER</t>
        </is>
      </c>
      <c r="H133" t="inlineStr">
        <is>
          <t>Sveaskog</t>
        </is>
      </c>
      <c r="I133" t="n">
        <v>4.1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45731-2025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45923</v>
      </c>
      <c r="E134" s="1" t="n">
        <v>46317</v>
      </c>
      <c r="F134" t="inlineStr">
        <is>
          <t>SÖDERMANLANDS LÄN</t>
        </is>
      </c>
      <c r="G134" t="inlineStr">
        <is>
          <t>VINGÅKER</t>
        </is>
      </c>
      <c r="I134" t="n">
        <v>1.5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24405-2023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45076</v>
      </c>
      <c r="E135" s="1" t="n">
        <v>46317</v>
      </c>
      <c r="F135" t="inlineStr">
        <is>
          <t>SÖDERMANLANDS LÄN</t>
        </is>
      </c>
      <c r="G135" t="inlineStr">
        <is>
          <t>VINGÅKER</t>
        </is>
      </c>
      <c r="I135" t="n">
        <v>1.3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5348-2022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44594</v>
      </c>
      <c r="E136" s="1" t="n">
        <v>46317</v>
      </c>
      <c r="F136" t="inlineStr">
        <is>
          <t>SÖDERMANLANDS LÄN</t>
        </is>
      </c>
      <c r="G136" t="inlineStr">
        <is>
          <t>VINGÅKER</t>
        </is>
      </c>
      <c r="I136" t="n">
        <v>3.5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326-2022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44565</v>
      </c>
      <c r="E137" s="1" t="n">
        <v>46317</v>
      </c>
      <c r="F137" t="inlineStr">
        <is>
          <t>SÖDERMANLANDS LÄN</t>
        </is>
      </c>
      <c r="G137" t="inlineStr">
        <is>
          <t>VINGÅKER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22525-2026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46155</v>
      </c>
      <c r="E138" s="1" t="n">
        <v>46317</v>
      </c>
      <c r="F138" t="inlineStr">
        <is>
          <t>SÖDERMANLANDS LÄN</t>
        </is>
      </c>
      <c r="G138" t="inlineStr">
        <is>
          <t>VINGÅKER</t>
        </is>
      </c>
      <c r="I138" t="n">
        <v>1.8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22135-2023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45069</v>
      </c>
      <c r="E139" s="1" t="n">
        <v>46317</v>
      </c>
      <c r="F139" t="inlineStr">
        <is>
          <t>SÖDERMANLANDS LÄN</t>
        </is>
      </c>
      <c r="G139" t="inlineStr">
        <is>
          <t>VINGÅKER</t>
        </is>
      </c>
      <c r="I139" t="n">
        <v>1.3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55824-2023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45239</v>
      </c>
      <c r="E140" s="1" t="n">
        <v>46317</v>
      </c>
      <c r="F140" t="inlineStr">
        <is>
          <t>SÖDERMANLANDS LÄN</t>
        </is>
      </c>
      <c r="G140" t="inlineStr">
        <is>
          <t>VINGÅKER</t>
        </is>
      </c>
      <c r="I140" t="n">
        <v>0.8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42446-2025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45905</v>
      </c>
      <c r="E141" s="1" t="n">
        <v>46317</v>
      </c>
      <c r="F141" t="inlineStr">
        <is>
          <t>SÖDERMANLANDS LÄN</t>
        </is>
      </c>
      <c r="G141" t="inlineStr">
        <is>
          <t>VINGÅKER</t>
        </is>
      </c>
      <c r="I141" t="n">
        <v>0.7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12861-2022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44642</v>
      </c>
      <c r="E142" s="1" t="n">
        <v>46317</v>
      </c>
      <c r="F142" t="inlineStr">
        <is>
          <t>SÖDERMANLANDS LÄN</t>
        </is>
      </c>
      <c r="G142" t="inlineStr">
        <is>
          <t>VINGÅKER</t>
        </is>
      </c>
      <c r="I142" t="n">
        <v>1.7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27207-2023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45096</v>
      </c>
      <c r="E143" s="1" t="n">
        <v>46317</v>
      </c>
      <c r="F143" t="inlineStr">
        <is>
          <t>SÖDERMANLANDS LÄN</t>
        </is>
      </c>
      <c r="G143" t="inlineStr">
        <is>
          <t>VINGÅKER</t>
        </is>
      </c>
      <c r="H143" t="inlineStr">
        <is>
          <t>Sveaskog</t>
        </is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32273-2023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45109</v>
      </c>
      <c r="E144" s="1" t="n">
        <v>46317</v>
      </c>
      <c r="F144" t="inlineStr">
        <is>
          <t>SÖDERMANLANDS LÄN</t>
        </is>
      </c>
      <c r="G144" t="inlineStr">
        <is>
          <t>VINGÅKER</t>
        </is>
      </c>
      <c r="I144" t="n">
        <v>2.7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45792-2023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45195</v>
      </c>
      <c r="E145" s="1" t="n">
        <v>46317</v>
      </c>
      <c r="F145" t="inlineStr">
        <is>
          <t>SÖDERMANLANDS LÄN</t>
        </is>
      </c>
      <c r="G145" t="inlineStr">
        <is>
          <t>VINGÅKER</t>
        </is>
      </c>
      <c r="H145" t="inlineStr">
        <is>
          <t>Kommuner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58806-2023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45247</v>
      </c>
      <c r="E146" s="1" t="n">
        <v>46317</v>
      </c>
      <c r="F146" t="inlineStr">
        <is>
          <t>SÖDERMANLANDS LÄN</t>
        </is>
      </c>
      <c r="G146" t="inlineStr">
        <is>
          <t>VINGÅKER</t>
        </is>
      </c>
      <c r="I146" t="n">
        <v>1.6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26086-2022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44734</v>
      </c>
      <c r="E147" s="1" t="n">
        <v>46317</v>
      </c>
      <c r="F147" t="inlineStr">
        <is>
          <t>SÖDERMANLANDS LÄN</t>
        </is>
      </c>
      <c r="G147" t="inlineStr">
        <is>
          <t>VINGÅKER</t>
        </is>
      </c>
      <c r="I147" t="n">
        <v>4.7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34159-2022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44791</v>
      </c>
      <c r="E148" s="1" t="n">
        <v>46317</v>
      </c>
      <c r="F148" t="inlineStr">
        <is>
          <t>SÖDERMANLANDS LÄN</t>
        </is>
      </c>
      <c r="G148" t="inlineStr">
        <is>
          <t>VINGÅKER</t>
        </is>
      </c>
      <c r="I148" t="n">
        <v>8.800000000000001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46420-2023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45194</v>
      </c>
      <c r="E149" s="1" t="n">
        <v>46317</v>
      </c>
      <c r="F149" t="inlineStr">
        <is>
          <t>SÖDERMANLANDS LÄN</t>
        </is>
      </c>
      <c r="G149" t="inlineStr">
        <is>
          <t>VINGÅKER</t>
        </is>
      </c>
      <c r="I149" t="n">
        <v>1.8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34019-2023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45135</v>
      </c>
      <c r="E150" s="1" t="n">
        <v>46317</v>
      </c>
      <c r="F150" t="inlineStr">
        <is>
          <t>SÖDERMANLANDS LÄN</t>
        </is>
      </c>
      <c r="G150" t="inlineStr">
        <is>
          <t>VINGÅKER</t>
        </is>
      </c>
      <c r="H150" t="inlineStr">
        <is>
          <t>Övriga Aktiebolag</t>
        </is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17178-2025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45755</v>
      </c>
      <c r="E151" s="1" t="n">
        <v>46317</v>
      </c>
      <c r="F151" t="inlineStr">
        <is>
          <t>SÖDERMANLANDS LÄN</t>
        </is>
      </c>
      <c r="G151" t="inlineStr">
        <is>
          <t>VINGÅKER</t>
        </is>
      </c>
      <c r="I151" t="n">
        <v>0.9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54742-2023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45236</v>
      </c>
      <c r="E152" s="1" t="n">
        <v>46317</v>
      </c>
      <c r="F152" t="inlineStr">
        <is>
          <t>SÖDERMANLANDS LÄN</t>
        </is>
      </c>
      <c r="G152" t="inlineStr">
        <is>
          <t>VINGÅKER</t>
        </is>
      </c>
      <c r="I152" t="n">
        <v>3.4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17169-2025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45755</v>
      </c>
      <c r="E153" s="1" t="n">
        <v>46317</v>
      </c>
      <c r="F153" t="inlineStr">
        <is>
          <t>SÖDERMANLANDS LÄN</t>
        </is>
      </c>
      <c r="G153" t="inlineStr">
        <is>
          <t>VINGÅKER</t>
        </is>
      </c>
      <c r="I153" t="n">
        <v>1.7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3304-2024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45317</v>
      </c>
      <c r="E154" s="1" t="n">
        <v>46317</v>
      </c>
      <c r="F154" t="inlineStr">
        <is>
          <t>SÖDERMANLANDS LÄN</t>
        </is>
      </c>
      <c r="G154" t="inlineStr">
        <is>
          <t>VINGÅKER</t>
        </is>
      </c>
      <c r="I154" t="n">
        <v>2.6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26141-2026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46181</v>
      </c>
      <c r="E155" s="1" t="n">
        <v>46317</v>
      </c>
      <c r="F155" t="inlineStr">
        <is>
          <t>SÖDERMANLANDS LÄN</t>
        </is>
      </c>
      <c r="G155" t="inlineStr">
        <is>
          <t>VINGÅKER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26144-2026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46181</v>
      </c>
      <c r="E156" s="1" t="n">
        <v>46317</v>
      </c>
      <c r="F156" t="inlineStr">
        <is>
          <t>SÖDERMANLANDS LÄN</t>
        </is>
      </c>
      <c r="G156" t="inlineStr">
        <is>
          <t>VINGÅKER</t>
        </is>
      </c>
      <c r="I156" t="n">
        <v>1.1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26146-2026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46181</v>
      </c>
      <c r="E157" s="1" t="n">
        <v>46317</v>
      </c>
      <c r="F157" t="inlineStr">
        <is>
          <t>SÖDERMANLANDS LÄN</t>
        </is>
      </c>
      <c r="G157" t="inlineStr">
        <is>
          <t>VINGÅKER</t>
        </is>
      </c>
      <c r="I157" t="n">
        <v>1.8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26142-2026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46181</v>
      </c>
      <c r="E158" s="1" t="n">
        <v>46317</v>
      </c>
      <c r="F158" t="inlineStr">
        <is>
          <t>SÖDERMANLANDS LÄN</t>
        </is>
      </c>
      <c r="G158" t="inlineStr">
        <is>
          <t>VINGÅKER</t>
        </is>
      </c>
      <c r="I158" t="n">
        <v>3.6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26147-2026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46181</v>
      </c>
      <c r="E159" s="1" t="n">
        <v>46317</v>
      </c>
      <c r="F159" t="inlineStr">
        <is>
          <t>SÖDERMANLANDS LÄN</t>
        </is>
      </c>
      <c r="G159" t="inlineStr">
        <is>
          <t>VINGÅKER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26155-2026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46181</v>
      </c>
      <c r="E160" s="1" t="n">
        <v>46317</v>
      </c>
      <c r="F160" t="inlineStr">
        <is>
          <t>SÖDERMANLANDS LÄN</t>
        </is>
      </c>
      <c r="G160" t="inlineStr">
        <is>
          <t>VINGÅKER</t>
        </is>
      </c>
      <c r="I160" t="n">
        <v>1.3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41952-2022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44830</v>
      </c>
      <c r="E161" s="1" t="n">
        <v>46317</v>
      </c>
      <c r="F161" t="inlineStr">
        <is>
          <t>SÖDERMANLANDS LÄN</t>
        </is>
      </c>
      <c r="G161" t="inlineStr">
        <is>
          <t>VINGÅKER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192-2024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45294</v>
      </c>
      <c r="E162" s="1" t="n">
        <v>46317</v>
      </c>
      <c r="F162" t="inlineStr">
        <is>
          <t>SÖDERMANLANDS LÄN</t>
        </is>
      </c>
      <c r="G162" t="inlineStr">
        <is>
          <t>VINGÅKER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50756-2023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45210</v>
      </c>
      <c r="E163" s="1" t="n">
        <v>46317</v>
      </c>
      <c r="F163" t="inlineStr">
        <is>
          <t>SÖDERMANLANDS LÄN</t>
        </is>
      </c>
      <c r="G163" t="inlineStr">
        <is>
          <t>VINGÅKER</t>
        </is>
      </c>
      <c r="I163" t="n">
        <v>3.2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26143-2026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46181</v>
      </c>
      <c r="E164" s="1" t="n">
        <v>46317</v>
      </c>
      <c r="F164" t="inlineStr">
        <is>
          <t>SÖDERMANLANDS LÄN</t>
        </is>
      </c>
      <c r="G164" t="inlineStr">
        <is>
          <t>VINGÅKER</t>
        </is>
      </c>
      <c r="I164" t="n">
        <v>2.7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32316-2023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45120</v>
      </c>
      <c r="E165" s="1" t="n">
        <v>46317</v>
      </c>
      <c r="F165" t="inlineStr">
        <is>
          <t>SÖDERMANLANDS LÄN</t>
        </is>
      </c>
      <c r="G165" t="inlineStr">
        <is>
          <t>VINGÅKER</t>
        </is>
      </c>
      <c r="H165" t="inlineStr">
        <is>
          <t>Sveaskog</t>
        </is>
      </c>
      <c r="I165" t="n">
        <v>1.4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17435-2022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44678</v>
      </c>
      <c r="E166" s="1" t="n">
        <v>46317</v>
      </c>
      <c r="F166" t="inlineStr">
        <is>
          <t>SÖDERMANLANDS LÄN</t>
        </is>
      </c>
      <c r="G166" t="inlineStr">
        <is>
          <t>VINGÅKER</t>
        </is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7825-2022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44608</v>
      </c>
      <c r="E167" s="1" t="n">
        <v>46317</v>
      </c>
      <c r="F167" t="inlineStr">
        <is>
          <t>SÖDERMANLANDS LÄN</t>
        </is>
      </c>
      <c r="G167" t="inlineStr">
        <is>
          <t>VINGÅKER</t>
        </is>
      </c>
      <c r="I167" t="n">
        <v>1.2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56627-2023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45243</v>
      </c>
      <c r="E168" s="1" t="n">
        <v>46317</v>
      </c>
      <c r="F168" t="inlineStr">
        <is>
          <t>SÖDERMANLANDS LÄN</t>
        </is>
      </c>
      <c r="G168" t="inlineStr">
        <is>
          <t>VINGÅKER</t>
        </is>
      </c>
      <c r="I168" t="n">
        <v>1.9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45149-2023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45191</v>
      </c>
      <c r="E169" s="1" t="n">
        <v>46317</v>
      </c>
      <c r="F169" t="inlineStr">
        <is>
          <t>SÖDERMANLANDS LÄN</t>
        </is>
      </c>
      <c r="G169" t="inlineStr">
        <is>
          <t>VINGÅKER</t>
        </is>
      </c>
      <c r="I169" t="n">
        <v>1.5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27978-2026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46195</v>
      </c>
      <c r="E170" s="1" t="n">
        <v>46317</v>
      </c>
      <c r="F170" t="inlineStr">
        <is>
          <t>SÖDERMANLANDS LÄN</t>
        </is>
      </c>
      <c r="G170" t="inlineStr">
        <is>
          <t>VINGÅKER</t>
        </is>
      </c>
      <c r="I170" t="n">
        <v>0.8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11376-2023</t>
        </is>
      </c>
      <c r="B171" t="inlineStr">
        <is>
          <t>avverkningsanmälan</t>
        </is>
      </c>
      <c r="C171" t="inlineStr">
        <is>
          <t>Avverkning för annat ändamål</t>
        </is>
      </c>
      <c r="D171" s="1" t="n">
        <v>44990</v>
      </c>
      <c r="E171" s="1" t="n">
        <v>46317</v>
      </c>
      <c r="F171" t="inlineStr">
        <is>
          <t>SÖDERMANLANDS LÄN</t>
        </is>
      </c>
      <c r="G171" t="inlineStr">
        <is>
          <t>VINGÅKER</t>
        </is>
      </c>
      <c r="I171" t="n">
        <v>1.1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61534-2022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44910</v>
      </c>
      <c r="E172" s="1" t="n">
        <v>46317</v>
      </c>
      <c r="F172" t="inlineStr">
        <is>
          <t>SÖDERMANLANDS LÄN</t>
        </is>
      </c>
      <c r="G172" t="inlineStr">
        <is>
          <t>VINGÅKER</t>
        </is>
      </c>
      <c r="H172" t="inlineStr">
        <is>
          <t>Kommuner</t>
        </is>
      </c>
      <c r="I172" t="n">
        <v>4.6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30931-2024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45498</v>
      </c>
      <c r="E173" s="1" t="n">
        <v>46317</v>
      </c>
      <c r="F173" t="inlineStr">
        <is>
          <t>SÖDERMANLANDS LÄN</t>
        </is>
      </c>
      <c r="G173" t="inlineStr">
        <is>
          <t>VINGÅKER</t>
        </is>
      </c>
      <c r="I173" t="n">
        <v>2.2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45425-2024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45576</v>
      </c>
      <c r="E174" s="1" t="n">
        <v>46317</v>
      </c>
      <c r="F174" t="inlineStr">
        <is>
          <t>SÖDERMANLANDS LÄN</t>
        </is>
      </c>
      <c r="G174" t="inlineStr">
        <is>
          <t>VINGÅKER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35257-2022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44798</v>
      </c>
      <c r="E175" s="1" t="n">
        <v>46317</v>
      </c>
      <c r="F175" t="inlineStr">
        <is>
          <t>SÖDERMANLANDS LÄN</t>
        </is>
      </c>
      <c r="G175" t="inlineStr">
        <is>
          <t>VINGÅKER</t>
        </is>
      </c>
      <c r="I175" t="n">
        <v>1.5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7136-2024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45343</v>
      </c>
      <c r="E176" s="1" t="n">
        <v>46317</v>
      </c>
      <c r="F176" t="inlineStr">
        <is>
          <t>SÖDERMANLANDS LÄN</t>
        </is>
      </c>
      <c r="G176" t="inlineStr">
        <is>
          <t>VINGÅKER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22835-2023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45072</v>
      </c>
      <c r="E177" s="1" t="n">
        <v>46317</v>
      </c>
      <c r="F177" t="inlineStr">
        <is>
          <t>SÖDERMANLANDS LÄN</t>
        </is>
      </c>
      <c r="G177" t="inlineStr">
        <is>
          <t>VINGÅKER</t>
        </is>
      </c>
      <c r="H177" t="inlineStr">
        <is>
          <t>Sveaskog</t>
        </is>
      </c>
      <c r="I177" t="n">
        <v>2.1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2270-2023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44942</v>
      </c>
      <c r="E178" s="1" t="n">
        <v>46317</v>
      </c>
      <c r="F178" t="inlineStr">
        <is>
          <t>SÖDERMANLANDS LÄN</t>
        </is>
      </c>
      <c r="G178" t="inlineStr">
        <is>
          <t>VINGÅKER</t>
        </is>
      </c>
      <c r="I178" t="n">
        <v>9.1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36649-2023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45153</v>
      </c>
      <c r="E179" s="1" t="n">
        <v>46317</v>
      </c>
      <c r="F179" t="inlineStr">
        <is>
          <t>SÖDERMANLANDS LÄN</t>
        </is>
      </c>
      <c r="G179" t="inlineStr">
        <is>
          <t>VINGÅKER</t>
        </is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356-2022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44565</v>
      </c>
      <c r="E180" s="1" t="n">
        <v>46317</v>
      </c>
      <c r="F180" t="inlineStr">
        <is>
          <t>SÖDERMANLANDS LÄN</t>
        </is>
      </c>
      <c r="G180" t="inlineStr">
        <is>
          <t>VINGÅKER</t>
        </is>
      </c>
      <c r="I180" t="n">
        <v>13.4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1668-2022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44573</v>
      </c>
      <c r="E181" s="1" t="n">
        <v>46317</v>
      </c>
      <c r="F181" t="inlineStr">
        <is>
          <t>SÖDERMANLANDS LÄN</t>
        </is>
      </c>
      <c r="G181" t="inlineStr">
        <is>
          <t>VINGÅKER</t>
        </is>
      </c>
      <c r="I181" t="n">
        <v>1.8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48620-2022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44859</v>
      </c>
      <c r="E182" s="1" t="n">
        <v>46317</v>
      </c>
      <c r="F182" t="inlineStr">
        <is>
          <t>SÖDERMANLANDS LÄN</t>
        </is>
      </c>
      <c r="G182" t="inlineStr">
        <is>
          <t>VINGÅKER</t>
        </is>
      </c>
      <c r="I182" t="n">
        <v>1.2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14597-2023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45013</v>
      </c>
      <c r="E183" s="1" t="n">
        <v>46317</v>
      </c>
      <c r="F183" t="inlineStr">
        <is>
          <t>SÖDERMANLANDS LÄN</t>
        </is>
      </c>
      <c r="G183" t="inlineStr">
        <is>
          <t>VINGÅKER</t>
        </is>
      </c>
      <c r="I183" t="n">
        <v>3.8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31377-2026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46213</v>
      </c>
      <c r="E184" s="1" t="n">
        <v>46317</v>
      </c>
      <c r="F184" t="inlineStr">
        <is>
          <t>SÖDERMANLANDS LÄN</t>
        </is>
      </c>
      <c r="G184" t="inlineStr">
        <is>
          <t>VINGÅKER</t>
        </is>
      </c>
      <c r="H184" t="inlineStr">
        <is>
          <t>Kommuner</t>
        </is>
      </c>
      <c r="I184" t="n">
        <v>0.6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31375-2026</t>
        </is>
      </c>
      <c r="B185" t="inlineStr">
        <is>
          <t>avverkningsanmälan</t>
        </is>
      </c>
      <c r="C185" t="inlineStr">
        <is>
          <t>Avverkning för annat ändamål</t>
        </is>
      </c>
      <c r="D185" s="1" t="n">
        <v>46213</v>
      </c>
      <c r="E185" s="1" t="n">
        <v>46317</v>
      </c>
      <c r="F185" t="inlineStr">
        <is>
          <t>SÖDERMANLANDS LÄN</t>
        </is>
      </c>
      <c r="G185" t="inlineStr">
        <is>
          <t>VINGÅKER</t>
        </is>
      </c>
      <c r="H185" t="inlineStr">
        <is>
          <t>Kommuner</t>
        </is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50099-2024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45597</v>
      </c>
      <c r="E186" s="1" t="n">
        <v>46317</v>
      </c>
      <c r="F186" t="inlineStr">
        <is>
          <t>SÖDERMANLANDS LÄN</t>
        </is>
      </c>
      <c r="G186" t="inlineStr">
        <is>
          <t>VINGÅKER</t>
        </is>
      </c>
      <c r="I186" t="n">
        <v>4.1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23429-2023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45076</v>
      </c>
      <c r="E187" s="1" t="n">
        <v>46317</v>
      </c>
      <c r="F187" t="inlineStr">
        <is>
          <t>SÖDERMANLANDS LÄN</t>
        </is>
      </c>
      <c r="G187" t="inlineStr">
        <is>
          <t>VINGÅKER</t>
        </is>
      </c>
      <c r="I187" t="n">
        <v>0.9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31913-2026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46231</v>
      </c>
      <c r="E188" s="1" t="n">
        <v>46317</v>
      </c>
      <c r="F188" t="inlineStr">
        <is>
          <t>SÖDERMANLANDS LÄN</t>
        </is>
      </c>
      <c r="G188" t="inlineStr">
        <is>
          <t>VINGÅKER</t>
        </is>
      </c>
      <c r="I188" t="n">
        <v>10.1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32522-2023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45110</v>
      </c>
      <c r="E189" s="1" t="n">
        <v>46317</v>
      </c>
      <c r="F189" t="inlineStr">
        <is>
          <t>SÖDERMANLANDS LÄN</t>
        </is>
      </c>
      <c r="G189" t="inlineStr">
        <is>
          <t>VINGÅKER</t>
        </is>
      </c>
      <c r="I189" t="n">
        <v>2.3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42084-2023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45175</v>
      </c>
      <c r="E190" s="1" t="n">
        <v>46317</v>
      </c>
      <c r="F190" t="inlineStr">
        <is>
          <t>SÖDERMANLANDS LÄN</t>
        </is>
      </c>
      <c r="G190" t="inlineStr">
        <is>
          <t>VINGÅKER</t>
        </is>
      </c>
      <c r="I190" t="n">
        <v>1.4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37325-2026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46275</v>
      </c>
      <c r="E191" s="1" t="n">
        <v>46317</v>
      </c>
      <c r="F191" t="inlineStr">
        <is>
          <t>SÖDERMANLANDS LÄN</t>
        </is>
      </c>
      <c r="G191" t="inlineStr">
        <is>
          <t>VINGÅKER</t>
        </is>
      </c>
      <c r="H191" t="inlineStr">
        <is>
          <t>Kommuner</t>
        </is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64770-2023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45281</v>
      </c>
      <c r="E192" s="1" t="n">
        <v>46317</v>
      </c>
      <c r="F192" t="inlineStr">
        <is>
          <t>SÖDERMANLANDS LÄN</t>
        </is>
      </c>
      <c r="G192" t="inlineStr">
        <is>
          <t>VINGÅKER</t>
        </is>
      </c>
      <c r="I192" t="n">
        <v>0.9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42146-2022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44830</v>
      </c>
      <c r="E193" s="1" t="n">
        <v>46317</v>
      </c>
      <c r="F193" t="inlineStr">
        <is>
          <t>SÖDERMANLANDS LÄN</t>
        </is>
      </c>
      <c r="G193" t="inlineStr">
        <is>
          <t>VINGÅKER</t>
        </is>
      </c>
      <c r="I193" t="n">
        <v>2.5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61825-2022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44917</v>
      </c>
      <c r="E194" s="1" t="n">
        <v>46317</v>
      </c>
      <c r="F194" t="inlineStr">
        <is>
          <t>SÖDERMANLANDS LÄN</t>
        </is>
      </c>
      <c r="G194" t="inlineStr">
        <is>
          <t>VINGÅKER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1714-2023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44938</v>
      </c>
      <c r="E195" s="1" t="n">
        <v>46317</v>
      </c>
      <c r="F195" t="inlineStr">
        <is>
          <t>SÖDERMANLANDS LÄN</t>
        </is>
      </c>
      <c r="G195" t="inlineStr">
        <is>
          <t>VINGÅKER</t>
        </is>
      </c>
      <c r="I195" t="n">
        <v>1.7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8465-2023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44977</v>
      </c>
      <c r="E196" s="1" t="n">
        <v>46317</v>
      </c>
      <c r="F196" t="inlineStr">
        <is>
          <t>SÖDERMANLANDS LÄN</t>
        </is>
      </c>
      <c r="G196" t="inlineStr">
        <is>
          <t>VINGÅKER</t>
        </is>
      </c>
      <c r="I196" t="n">
        <v>3.2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63764-2023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45278</v>
      </c>
      <c r="E197" s="1" t="n">
        <v>46317</v>
      </c>
      <c r="F197" t="inlineStr">
        <is>
          <t>SÖDERMANLANDS LÄN</t>
        </is>
      </c>
      <c r="G197" t="inlineStr">
        <is>
          <t>VINGÅKER</t>
        </is>
      </c>
      <c r="I197" t="n">
        <v>0.9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48631-2022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44859</v>
      </c>
      <c r="E198" s="1" t="n">
        <v>46317</v>
      </c>
      <c r="F198" t="inlineStr">
        <is>
          <t>SÖDERMANLANDS LÄN</t>
        </is>
      </c>
      <c r="G198" t="inlineStr">
        <is>
          <t>VINGÅKER</t>
        </is>
      </c>
      <c r="I198" t="n">
        <v>1.7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58908-2024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45636</v>
      </c>
      <c r="E199" s="1" t="n">
        <v>46317</v>
      </c>
      <c r="F199" t="inlineStr">
        <is>
          <t>SÖDERMANLANDS LÄN</t>
        </is>
      </c>
      <c r="G199" t="inlineStr">
        <is>
          <t>VINGÅKER</t>
        </is>
      </c>
      <c r="I199" t="n">
        <v>0.8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44607-2023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45184</v>
      </c>
      <c r="E200" s="1" t="n">
        <v>46317</v>
      </c>
      <c r="F200" t="inlineStr">
        <is>
          <t>SÖDERMANLANDS LÄN</t>
        </is>
      </c>
      <c r="G200" t="inlineStr">
        <is>
          <t>VINGÅKER</t>
        </is>
      </c>
      <c r="H200" t="inlineStr">
        <is>
          <t>Kommuner</t>
        </is>
      </c>
      <c r="I200" t="n">
        <v>2.6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58224-2022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44893</v>
      </c>
      <c r="E201" s="1" t="n">
        <v>46317</v>
      </c>
      <c r="F201" t="inlineStr">
        <is>
          <t>SÖDERMANLANDS LÄN</t>
        </is>
      </c>
      <c r="G201" t="inlineStr">
        <is>
          <t>VINGÅKER</t>
        </is>
      </c>
      <c r="I201" t="n">
        <v>0.7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19860-2023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45053</v>
      </c>
      <c r="E202" s="1" t="n">
        <v>46317</v>
      </c>
      <c r="F202" t="inlineStr">
        <is>
          <t>SÖDERMANLANDS LÄN</t>
        </is>
      </c>
      <c r="G202" t="inlineStr">
        <is>
          <t>VINGÅKER</t>
        </is>
      </c>
      <c r="I202" t="n">
        <v>0.5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57608-2024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45630</v>
      </c>
      <c r="E203" s="1" t="n">
        <v>46317</v>
      </c>
      <c r="F203" t="inlineStr">
        <is>
          <t>SÖDERMANLANDS LÄN</t>
        </is>
      </c>
      <c r="G203" t="inlineStr">
        <is>
          <t>VINGÅKER</t>
        </is>
      </c>
      <c r="I203" t="n">
        <v>1.8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27341-2022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44742</v>
      </c>
      <c r="E204" s="1" t="n">
        <v>46317</v>
      </c>
      <c r="F204" t="inlineStr">
        <is>
          <t>SÖDERMANLANDS LÄN</t>
        </is>
      </c>
      <c r="G204" t="inlineStr">
        <is>
          <t>VINGÅKER</t>
        </is>
      </c>
      <c r="I204" t="n">
        <v>2.5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23415-2023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45076</v>
      </c>
      <c r="E205" s="1" t="n">
        <v>46317</v>
      </c>
      <c r="F205" t="inlineStr">
        <is>
          <t>SÖDERMANLANDS LÄN</t>
        </is>
      </c>
      <c r="G205" t="inlineStr">
        <is>
          <t>VINGÅKER</t>
        </is>
      </c>
      <c r="I205" t="n">
        <v>0.6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39830-2026</t>
        </is>
      </c>
      <c r="B206" t="inlineStr">
        <is>
          <t>avverkningsanmälan</t>
        </is>
      </c>
      <c r="C206" t="inlineStr">
        <is>
          <t>Avverkning för att bevara och utveckla /försöksver</t>
        </is>
      </c>
      <c r="D206" s="1" t="n">
        <v>46290</v>
      </c>
      <c r="E206" s="1" t="n">
        <v>46317</v>
      </c>
      <c r="F206" t="inlineStr">
        <is>
          <t>SÖDERMANLANDS LÄN</t>
        </is>
      </c>
      <c r="G206" t="inlineStr">
        <is>
          <t>VINGÅKER</t>
        </is>
      </c>
      <c r="I206" t="n">
        <v>2.5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65066-2023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45285</v>
      </c>
      <c r="E207" s="1" t="n">
        <v>46317</v>
      </c>
      <c r="F207" t="inlineStr">
        <is>
          <t>SÖDERMANLANDS LÄN</t>
        </is>
      </c>
      <c r="G207" t="inlineStr">
        <is>
          <t>VINGÅKER</t>
        </is>
      </c>
      <c r="I207" t="n">
        <v>1.2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465-2024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45297</v>
      </c>
      <c r="E208" s="1" t="n">
        <v>46317</v>
      </c>
      <c r="F208" t="inlineStr">
        <is>
          <t>SÖDERMANLANDS LÄN</t>
        </is>
      </c>
      <c r="G208" t="inlineStr">
        <is>
          <t>VINGÅKER</t>
        </is>
      </c>
      <c r="I208" t="n">
        <v>3.2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59988-2022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44902</v>
      </c>
      <c r="E209" s="1" t="n">
        <v>46317</v>
      </c>
      <c r="F209" t="inlineStr">
        <is>
          <t>SÖDERMANLANDS LÄN</t>
        </is>
      </c>
      <c r="G209" t="inlineStr">
        <is>
          <t>VINGÅKER</t>
        </is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2586-2023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44943</v>
      </c>
      <c r="E210" s="1" t="n">
        <v>46317</v>
      </c>
      <c r="F210" t="inlineStr">
        <is>
          <t>SÖDERMANLANDS LÄN</t>
        </is>
      </c>
      <c r="G210" t="inlineStr">
        <is>
          <t>VINGÅKER</t>
        </is>
      </c>
      <c r="I210" t="n">
        <v>1.9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34157-2026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46253</v>
      </c>
      <c r="E211" s="1" t="n">
        <v>46317</v>
      </c>
      <c r="F211" t="inlineStr">
        <is>
          <t>SÖDERMANLANDS LÄN</t>
        </is>
      </c>
      <c r="G211" t="inlineStr">
        <is>
          <t>VINGÅKER</t>
        </is>
      </c>
      <c r="I211" t="n">
        <v>1.4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34130-2026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46253</v>
      </c>
      <c r="E212" s="1" t="n">
        <v>46317</v>
      </c>
      <c r="F212" t="inlineStr">
        <is>
          <t>SÖDERMANLANDS LÄN</t>
        </is>
      </c>
      <c r="G212" t="inlineStr">
        <is>
          <t>VINGÅKER</t>
        </is>
      </c>
      <c r="I212" t="n">
        <v>0.8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16069-2025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45749</v>
      </c>
      <c r="E213" s="1" t="n">
        <v>46317</v>
      </c>
      <c r="F213" t="inlineStr">
        <is>
          <t>SÖDERMANLANDS LÄN</t>
        </is>
      </c>
      <c r="G213" t="inlineStr">
        <is>
          <t>VINGÅKER</t>
        </is>
      </c>
      <c r="I213" t="n">
        <v>6.7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41603-2026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46302</v>
      </c>
      <c r="E214" s="1" t="n">
        <v>46317</v>
      </c>
      <c r="F214" t="inlineStr">
        <is>
          <t>SÖDERMANLANDS LÄN</t>
        </is>
      </c>
      <c r="G214" t="inlineStr">
        <is>
          <t>VINGÅKER</t>
        </is>
      </c>
      <c r="I214" t="n">
        <v>2.1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35683-2026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46265</v>
      </c>
      <c r="E215" s="1" t="n">
        <v>46317</v>
      </c>
      <c r="F215" t="inlineStr">
        <is>
          <t>SÖDERMANLANDS LÄN</t>
        </is>
      </c>
      <c r="G215" t="inlineStr">
        <is>
          <t>VINGÅKER</t>
        </is>
      </c>
      <c r="H215" t="inlineStr">
        <is>
          <t>Sveaskog</t>
        </is>
      </c>
      <c r="I215" t="n">
        <v>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35686-2026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46265</v>
      </c>
      <c r="E216" s="1" t="n">
        <v>46317</v>
      </c>
      <c r="F216" t="inlineStr">
        <is>
          <t>SÖDERMANLANDS LÄN</t>
        </is>
      </c>
      <c r="G216" t="inlineStr">
        <is>
          <t>VINGÅKER</t>
        </is>
      </c>
      <c r="H216" t="inlineStr">
        <is>
          <t>Sveaskog</t>
        </is>
      </c>
      <c r="I216" t="n">
        <v>1.5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35687-2026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46265</v>
      </c>
      <c r="E217" s="1" t="n">
        <v>46317</v>
      </c>
      <c r="F217" t="inlineStr">
        <is>
          <t>SÖDERMANLANDS LÄN</t>
        </is>
      </c>
      <c r="G217" t="inlineStr">
        <is>
          <t>VINGÅKER</t>
        </is>
      </c>
      <c r="H217" t="inlineStr">
        <is>
          <t>Sveaskog</t>
        </is>
      </c>
      <c r="I217" t="n">
        <v>2.7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35638-2026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46265</v>
      </c>
      <c r="E218" s="1" t="n">
        <v>46317</v>
      </c>
      <c r="F218" t="inlineStr">
        <is>
          <t>SÖDERMANLANDS LÄN</t>
        </is>
      </c>
      <c r="G218" t="inlineStr">
        <is>
          <t>VINGÅKER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37329-2026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46274</v>
      </c>
      <c r="E219" s="1" t="n">
        <v>46317</v>
      </c>
      <c r="F219" t="inlineStr">
        <is>
          <t>SÖDERMANLANDS LÄN</t>
        </is>
      </c>
      <c r="G219" t="inlineStr">
        <is>
          <t>VINGÅKER</t>
        </is>
      </c>
      <c r="H219" t="inlineStr">
        <is>
          <t>Kommuner</t>
        </is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37229-2026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46274</v>
      </c>
      <c r="E220" s="1" t="n">
        <v>46317</v>
      </c>
      <c r="F220" t="inlineStr">
        <is>
          <t>SÖDERMANLANDS LÄN</t>
        </is>
      </c>
      <c r="G220" t="inlineStr">
        <is>
          <t>VINGÅKER</t>
        </is>
      </c>
      <c r="I220" t="n">
        <v>3.3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37334-2026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46274</v>
      </c>
      <c r="E221" s="1" t="n">
        <v>46317</v>
      </c>
      <c r="F221" t="inlineStr">
        <is>
          <t>SÖDERMANLANDS LÄN</t>
        </is>
      </c>
      <c r="G221" t="inlineStr">
        <is>
          <t>VINGÅKER</t>
        </is>
      </c>
      <c r="H221" t="inlineStr">
        <is>
          <t>Kommuner</t>
        </is>
      </c>
      <c r="I221" t="n">
        <v>1.3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S 1502-2023</t>
        </is>
      </c>
      <c r="B222" t="inlineStr">
        <is>
          <t>samrådsanmälan</t>
        </is>
      </c>
      <c r="C222" t="inlineStr">
        <is>
          <t>Annan skogsbruksåtgärd</t>
        </is>
      </c>
      <c r="D222" s="1" t="n">
        <v>45051</v>
      </c>
      <c r="E222" s="1" t="n">
        <v>46317</v>
      </c>
      <c r="F222" t="inlineStr">
        <is>
          <t>SÖDERMANLANDS LÄN</t>
        </is>
      </c>
      <c r="G222" t="inlineStr">
        <is>
          <t>VINGÅKER</t>
        </is>
      </c>
      <c r="H222" t="inlineStr">
        <is>
          <t>Kommuner</t>
        </is>
      </c>
      <c r="I222" t="n">
        <v>0.7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S 1214-2025</t>
        </is>
      </c>
      <c r="B223" t="inlineStr">
        <is>
          <t>samrådsanmälan</t>
        </is>
      </c>
      <c r="C223" t="inlineStr">
        <is>
          <t>Annan skogsbruksåtgärd</t>
        </is>
      </c>
      <c r="D223" s="1" t="n">
        <v>45761</v>
      </c>
      <c r="E223" s="1" t="n">
        <v>46317</v>
      </c>
      <c r="F223" t="inlineStr">
        <is>
          <t>SÖDERMANLANDS LÄN</t>
        </is>
      </c>
      <c r="G223" t="inlineStr">
        <is>
          <t>VINGÅKER</t>
        </is>
      </c>
      <c r="H223" t="inlineStr">
        <is>
          <t>Sveaskog</t>
        </is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S 1213-2025</t>
        </is>
      </c>
      <c r="B224" t="inlineStr">
        <is>
          <t>samrådsanmälan</t>
        </is>
      </c>
      <c r="C224" t="inlineStr">
        <is>
          <t>Annan skogsbruksåtgärd</t>
        </is>
      </c>
      <c r="D224" s="1" t="n">
        <v>45761</v>
      </c>
      <c r="E224" s="1" t="n">
        <v>46317</v>
      </c>
      <c r="F224" t="inlineStr">
        <is>
          <t>SÖDERMANLANDS LÄN</t>
        </is>
      </c>
      <c r="G224" t="inlineStr">
        <is>
          <t>VINGÅKER</t>
        </is>
      </c>
      <c r="H224" t="inlineStr">
        <is>
          <t>Sveaskog</t>
        </is>
      </c>
      <c r="I224" t="n">
        <v>1.3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S 1266-2025</t>
        </is>
      </c>
      <c r="B225" t="inlineStr">
        <is>
          <t>samrådsanmälan</t>
        </is>
      </c>
      <c r="C225" t="inlineStr">
        <is>
          <t>Annan skogsbruksåtgärd</t>
        </is>
      </c>
      <c r="D225" s="1" t="n">
        <v>45764</v>
      </c>
      <c r="E225" s="1" t="n">
        <v>46317</v>
      </c>
      <c r="F225" t="inlineStr">
        <is>
          <t>SÖDERMANLANDS LÄN</t>
        </is>
      </c>
      <c r="G225" t="inlineStr">
        <is>
          <t>VINGÅKER</t>
        </is>
      </c>
      <c r="H225" t="inlineStr">
        <is>
          <t>Sveaskog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S 1260-2025</t>
        </is>
      </c>
      <c r="B226" t="inlineStr">
        <is>
          <t>samrådsanmälan</t>
        </is>
      </c>
      <c r="C226" t="inlineStr">
        <is>
          <t>Annan skogsbruksåtgärd</t>
        </is>
      </c>
      <c r="D226" s="1" t="n">
        <v>45763</v>
      </c>
      <c r="E226" s="1" t="n">
        <v>46317</v>
      </c>
      <c r="F226" t="inlineStr">
        <is>
          <t>SÖDERMANLANDS LÄN</t>
        </is>
      </c>
      <c r="G226" t="inlineStr">
        <is>
          <t>VINGÅKER</t>
        </is>
      </c>
      <c r="H226" t="inlineStr">
        <is>
          <t>Sveaskog</t>
        </is>
      </c>
      <c r="I226" t="n">
        <v>1.3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>
      <c r="A227" t="inlineStr">
        <is>
          <t>S 1137-2025</t>
        </is>
      </c>
      <c r="B227" t="inlineStr">
        <is>
          <t>samrådsanmälan</t>
        </is>
      </c>
      <c r="C227" t="inlineStr">
        <is>
          <t>Annan skogsbruksåtgärd</t>
        </is>
      </c>
      <c r="D227" s="1" t="n">
        <v>45755</v>
      </c>
      <c r="E227" s="1" t="n">
        <v>46317</v>
      </c>
      <c r="F227" t="inlineStr">
        <is>
          <t>SÖDERMANLANDS LÄN</t>
        </is>
      </c>
      <c r="G227" t="inlineStr">
        <is>
          <t>VINGÅKER</t>
        </is>
      </c>
      <c r="I227" t="n">
        <v>10.6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2026-10-22T01:58:38Z</dcterms:created>
  <dcterms:modified xmlns:dcterms="http://purl.org/dc/terms/" xmlns:xsi="http://www.w3.org/2001/XMLSchema-instance" xsi:type="dcterms:W3CDTF">2026-10-22T01:58:38Z</dcterms:modified>
</cp:coreProperties>
</file>